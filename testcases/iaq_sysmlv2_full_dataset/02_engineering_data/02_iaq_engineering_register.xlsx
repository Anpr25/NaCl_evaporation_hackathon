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d6d5ca900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_Register" sheetId="1" r:id="R39d5acd278e644e5"/>
    <x:sheet xmlns:r="http://schemas.openxmlformats.org/officeDocument/2006/relationships" name="Component_Schedule" sheetId="2" r:id="Rbcaee6150a7a4e9a"/>
    <x:sheet xmlns:r="http://schemas.openxmlformats.org/officeDocument/2006/relationships" name="Parameter_Calculations" sheetId="3" r:id="Rb7d823241e724da9"/>
    <x:sheet xmlns:r="http://schemas.openxmlformats.org/officeDocument/2006/relationships" name="Interface_Matrix" sheetId="4" r:id="R139685b4097742b0"/>
    <x:sheet xmlns:r="http://schemas.openxmlformats.org/officeDocument/2006/relationships" name="Occupancy_Schedule" sheetId="5" r:id="R6a623c35aa9a41e6"/>
    <x:sheet xmlns:r="http://schemas.openxmlformats.org/officeDocument/2006/relationships" name="Change_Log" sheetId="6" r:id="R0b1d593887f84979"/>
    <x:sheet xmlns:r="http://schemas.openxmlformats.org/officeDocument/2006/relationships" name="Verification_Matrix" sheetId="7" r:id="Rd10a453b19f54a22"/>
    <x:sheet xmlns:r="http://schemas.openxmlformats.org/officeDocument/2006/relationships" name="Source_Index" sheetId="8" r:id="Rb0c1a01bb77a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E+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6e4f6980e4f10" /><Relationship Type="http://schemas.openxmlformats.org/officeDocument/2006/relationships/theme" Target="/xl/theme/theme1.xml" Id="Ra76f54401e53432d" /><Relationship Type="http://schemas.openxmlformats.org/officeDocument/2006/relationships/sharedStrings" Target="/xl/sharedStrings.xml" Id="Rd14bcf1385314888" /><Relationship Type="http://schemas.openxmlformats.org/officeDocument/2006/relationships/worksheet" Target="/xl/worksheets/sheet1.xml" Id="R39d5acd278e644e5" /><Relationship Type="http://schemas.openxmlformats.org/officeDocument/2006/relationships/worksheet" Target="/xl/worksheets/sheet2.xml" Id="Rbcaee6150a7a4e9a" /><Relationship Type="http://schemas.openxmlformats.org/officeDocument/2006/relationships/worksheet" Target="/xl/worksheets/sheet3.xml" Id="Rb7d823241e724da9" /><Relationship Type="http://schemas.openxmlformats.org/officeDocument/2006/relationships/worksheet" Target="/xl/worksheets/sheet4.xml" Id="R139685b4097742b0" /><Relationship Type="http://schemas.openxmlformats.org/officeDocument/2006/relationships/worksheet" Target="/xl/worksheets/sheet5.xml" Id="R6a623c35aa9a41e6" /><Relationship Type="http://schemas.openxmlformats.org/officeDocument/2006/relationships/worksheet" Target="/xl/worksheets/sheet6.xml" Id="R0b1d593887f84979" /><Relationship Type="http://schemas.openxmlformats.org/officeDocument/2006/relationships/worksheet" Target="/xl/worksheets/sheet7.xml" Id="Rd10a453b19f54a22" /><Relationship Type="http://schemas.openxmlformats.org/officeDocument/2006/relationships/worksheet" Target="/xl/worksheets/sheet8.xml" Id="Rb0c1a01bb77a4889" /></Relationships>
</file>

<file path=xl/tables/table1.xml><?xml version="1.0" encoding="utf-8"?>
<x:table xmlns:x="http://schemas.openxmlformats.org/spreadsheetml/2006/main" id="1" name="IAQRequirementsTable" displayName="IAQRequirementsTable" ref="A3:J35" headerRowCount="1" totalsRowCount="0" totalsRowShown="0">
  <x:tableColumns count="10">
    <x:tableColumn id="1" name="Req ID"/>
    <x:tableColumn id="2" name="Source / Rev"/>
    <x:tableColumn id="3" name="Requirement Text"/>
    <x:tableColumn id="4" name="Category"/>
    <x:tableColumn id="5" name="Priority"/>
    <x:tableColumn id="6" name="Verification"/>
    <x:tableColumn id="7" name="Status"/>
    <x:tableColumn id="8" name="Superseded By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AQComponentsTable" displayName="IAQComponentsTable" ref="A3:K17" headerRowCount="1" totalsRowCount="0" totalsRowShown="0">
  <x:tableColumns count="11">
    <x:tableColumn id="1" name="Tag"/>
    <x:tableColumn id="2" name="Alias / Legacy Name"/>
    <x:tableColumn id="3" name="Type"/>
    <x:tableColumn id="4" name="Role"/>
    <x:tableColumn id="5" name="Key Parameter"/>
    <x:tableColumn id="6" name="Value"/>
    <x:tableColumn id="7" name="Units"/>
    <x:tableColumn id="8" name="Input(s)"/>
    <x:tableColumn id="9" name="Output(s)"/>
    <x:tableColumn id="10" name="Source"/>
    <x:tableColumn id="11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AQCalculationsTable" displayName="IAQCalculationsTable" ref="A3:G25" headerRowCount="1" totalsRowCount="0" totalsRowShown="0">
  <x:tableColumns count="7">
    <x:tableColumn id="1" name="Parameter"/>
    <x:tableColumn id="2" name="Symbol"/>
    <x:tableColumn id="3" name="Input Value"/>
    <x:tableColumn id="4" name="Units"/>
    <x:tableColumn id="5" name="Formula / Basis"/>
    <x:tableColumn id="6" name="Derived Value"/>
    <x:tableColumn id="7" name="Derived Uni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AQInterfaceTable" displayName="IAQInterfaceTable" ref="A3:J17" headerRowCount="1" totalsRowCount="0" totalsRowShown="0">
  <x:tableColumns count="10">
    <x:tableColumn id="1" name="Interface ID"/>
    <x:tableColumn id="2" name="From"/>
    <x:tableColumn id="3" name="From Port / Signal"/>
    <x:tableColumn id="4" name="To"/>
    <x:tableColumn id="5" name="To Port / Signal"/>
    <x:tableColumn id="6" name="Item / Quantity"/>
    <x:tableColumn id="7" name="Direction"/>
    <x:tableColumn id="8" name="Units"/>
    <x:tableColumn id="9" name="Constraint / Semantics"/>
    <x:tableColumn id="10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ccupancyTable" displayName="OccupancyTable" ref="A3:F12" headerRowCount="1" totalsRowCount="0" totalsRowShown="0">
  <x:tableColumns count="6">
    <x:tableColumn id="1" name="Schedule Row"/>
    <x:tableColumn id="2" name="Start Time"/>
    <x:tableColumn id="3" name="End Time"/>
    <x:tableColumn id="4" name="Occupants"/>
    <x:tableColumn id="5" name="Source Status"/>
    <x:tableColumn id="6" name="Operational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AQChangeTable" displayName="IAQChangeTable" ref="A3:H12" headerRowCount="1" totalsRowCount="0" totalsRowShown="0">
  <x:tableColumns count="8">
    <x:tableColumn id="1" name="Date"/>
    <x:tableColumn id="2" name="Record"/>
    <x:tableColumn id="3" name="Revision"/>
    <x:tableColumn id="4" name="Status"/>
    <x:tableColumn id="5" name="Affected Item(s)"/>
    <x:tableColumn id="6" name="Change Summary"/>
    <x:tableColumn id="7" name="Approved By"/>
    <x:tableColumn id="8" name="Precedence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AQVerificationTable" displayName="IAQVerificationTable" ref="A3:H10" headerRowCount="1" totalsRowCount="0" totalsRowShown="0">
  <x:tableColumns count="8">
    <x:tableColumn id="1" name="Test ID"/>
    <x:tableColumn id="2" name="Requirement(s)"/>
    <x:tableColumn id="3" name="Stimulus / Setup"/>
    <x:tableColumn id="4" name="Observed / Expected"/>
    <x:tableColumn id="5" name="Acceptance Criterion"/>
    <x:tableColumn id="6" name="Evidence Artifact"/>
    <x:tableColumn id="7" name="Status"/>
    <x:tableColumn id="8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AQSourceIndexTable" displayName="IAQSourceIndexTable" ref="A3:G17" headerRowCount="1" totalsRowCount="0" totalsRowShown="0">
  <x:tableColumns count="7">
    <x:tableColumn id="1" name="Source ID"/>
    <x:tableColumn id="2" name="Filename / Artifact"/>
    <x:tableColumn id="3" name="Type"/>
    <x:tableColumn id="4" name="Revision / Date"/>
    <x:tableColumn id="5" name="Reliability"/>
    <x:tableColumn id="6" name="Contains"/>
    <x:tableColumn id="7" name="Known 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16e84555d140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b09b6b6ad447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fe2537187a43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33f2d1f5bf47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d31783f833347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74aee9a01444a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9947ee58d1e45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d2df08cfed24525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5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" t="str">
        <x:v>Room CO2 Feedback-Control System - Synthetic Requirements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Req ID</x:v>
      </x:c>
      <x:c r="B3" s="12" t="str">
        <x:v>Source / Rev</x:v>
      </x:c>
      <x:c r="C3" s="12" t="str">
        <x:v>Requirement Text</x:v>
      </x:c>
      <x:c r="D3" s="12" t="str">
        <x:v>Category</x:v>
      </x:c>
      <x:c r="E3" s="12" t="str">
        <x:v>Priority</x:v>
      </x:c>
      <x:c r="F3" s="12" t="str">
        <x:v>Verification</x:v>
      </x:c>
      <x:c r="G3" s="12" t="str">
        <x:v>Status</x:v>
      </x:c>
      <x:c r="H3" s="12" t="str">
        <x:v>Superseded By</x:v>
      </x:c>
      <x:c r="I3" s="12" t="str">
        <x:v>Owner</x:v>
      </x:c>
      <x:c r="J3" s="12" t="str">
        <x:v>Notes</x:v>
      </x:c>
    </x:row>
    <x:row r="4">
      <x:c r="A4" s="18" t="str">
        <x:v>IAQ-FUN-001</x:v>
      </x:c>
      <x:c r="B4" s="18" t="str">
        <x:v>URS-IAQ-001 Rev A</x:v>
      </x:c>
      <x:c r="C4" s="18" t="str">
        <x:v>The system shall provide outdoor air to the room through the supply-air path and discharge room air through the exhaust path.</x:v>
      </x:c>
      <x:c r="D4" s="18" t="str">
        <x:v>Functional</x:v>
      </x:c>
      <x:c r="E4" s="18" t="str">
        <x:v>Must</x:v>
      </x:c>
      <x:c r="F4" s="18" t="str">
        <x:v>Inspection/Test</x:v>
      </x:c>
      <x:c r="G4" s="18" t="str">
        <x:v>Active</x:v>
      </x:c>
      <x:c r="H4" s="18" t="str"/>
      <x:c r="I4" s="18" t="str">
        <x:v>Mechanical</x:v>
      </x:c>
      <x:c r="J4" s="18" t="str">
        <x:v>Topology shown in the reference control diagram.</x:v>
      </x:c>
    </x:row>
    <x:row r="5">
      <x:c r="A5" s="18" t="str">
        <x:v>IAQ-FUN-002</x:v>
      </x:c>
      <x:c r="B5" s="18" t="str">
        <x:v>URS-IAQ-001 Rev A</x:v>
      </x:c>
      <x:c r="C5" s="18" t="str">
        <x:v>The ventilation controller shall modulate fresh-air mass flow using measured room CO2 concentration as feedback.</x:v>
      </x:c>
      <x:c r="D5" s="18" t="str">
        <x:v>Functional</x:v>
      </x:c>
      <x:c r="E5" s="18" t="str">
        <x:v>Must</x:v>
      </x:c>
      <x:c r="F5" s="18" t="str">
        <x:v>Test</x:v>
      </x:c>
      <x:c r="G5" s="18" t="str">
        <x:v>Active</x:v>
      </x:c>
      <x:c r="H5" s="18" t="str"/>
      <x:c r="I5" s="18" t="str">
        <x:v>Controls</x:v>
      </x:c>
      <x:c r="J5" s="18" t="str">
        <x:v>Feedback loop uses room trace-substance concentration.</x:v>
      </x:c>
    </x:row>
    <x:row r="6">
      <x:c r="A6" s="18" t="str">
        <x:v>IAQ-FUN-003</x:v>
      </x:c>
      <x:c r="B6" s="18" t="str">
        <x:v>URS-IAQ-001 Rev A</x:v>
      </x:c>
      <x:c r="C6" s="18" t="str">
        <x:v>The occupied-room CO2 concentration shall not exceed 1000 ppm under the design occupancy schedule.</x:v>
      </x:c>
      <x:c r="D6" s="18" t="str">
        <x:v>Performance</x:v>
      </x:c>
      <x:c r="E6" s="18" t="str">
        <x:v>Must</x:v>
      </x:c>
      <x:c r="F6" s="18" t="str">
        <x:v>Simulation/Test</x:v>
      </x:c>
      <x:c r="G6" s="18" t="str">
        <x:v>Active</x:v>
      </x:c>
      <x:c r="H6" s="18" t="str"/>
      <x:c r="I6" s="18" t="str">
        <x:v>IAQ</x:v>
      </x:c>
      <x:c r="J6" s="18" t="str">
        <x:v>1000 ppm is an absolute concentration, not ppm above outdoors.</x:v>
      </x:c>
    </x:row>
    <x:row r="7">
      <x:c r="A7" s="18" t="str">
        <x:v>IAQ-FUN-004</x:v>
      </x:c>
      <x:c r="B7" s="18" t="str">
        <x:v>URS-IAQ-001 Rev A</x:v>
      </x:c>
      <x:c r="C7" s="18" t="str">
        <x:v>The outdoor-air CO2 concentration used by the demonstration model shall be 300 ppm.</x:v>
      </x:c>
      <x:c r="D7" s="18" t="str">
        <x:v>Performance</x:v>
      </x:c>
      <x:c r="E7" s="18" t="str">
        <x:v>Must</x:v>
      </x:c>
      <x:c r="F7" s="18" t="str">
        <x:v>Inspection/Test</x:v>
      </x:c>
      <x:c r="G7" s="18" t="str">
        <x:v>Active</x:v>
      </x:c>
      <x:c r="H7" s="18" t="str"/>
      <x:c r="I7" s="18" t="str">
        <x:v>IAQ</x:v>
      </x:c>
      <x:c r="J7" s="18" t="str">
        <x:v>Equivalent mass fraction defined separately.</x:v>
      </x:c>
    </x:row>
    <x:row r="8">
      <x:c r="A8" s="18" t="str">
        <x:v>IAQ-FUN-005</x:v>
      </x:c>
      <x:c r="B8" s="18" t="str">
        <x:v>URS-IAQ-001 Rev A</x:v>
      </x:c>
      <x:c r="C8" s="18" t="str">
        <x:v>CO2 generation shall be proportional to the number of occupants scheduled in the room.</x:v>
      </x:c>
      <x:c r="D8" s="18" t="str">
        <x:v>Functional</x:v>
      </x:c>
      <x:c r="E8" s="18" t="str">
        <x:v>Must</x:v>
      </x:c>
      <x:c r="F8" s="18" t="str">
        <x:v>Analysis/Test</x:v>
      </x:c>
      <x:c r="G8" s="18" t="str">
        <x:v>Active</x:v>
      </x:c>
      <x:c r="H8" s="18" t="str"/>
      <x:c r="I8" s="18" t="str">
        <x:v>IAQ</x:v>
      </x:c>
      <x:c r="J8" s="18" t="str">
        <x:v>Emission rate per person defined in IAQ-PER-003.</x:v>
      </x:c>
    </x:row>
    <x:row r="9">
      <x:c r="A9" s="18" t="str">
        <x:v>IAQ-PER-001</x:v>
      </x:c>
      <x:c r="B9" s="18" t="str">
        <x:v>URS-IAQ-001 Rev A</x:v>
      </x:c>
      <x:c r="C9" s="18" t="str">
        <x:v>The controlled room air volume shall be 100 m^3.</x:v>
      </x:c>
      <x:c r="D9" s="18" t="str">
        <x:v>Performance</x:v>
      </x:c>
      <x:c r="E9" s="18" t="str">
        <x:v>Must</x:v>
      </x:c>
      <x:c r="F9" s="18" t="str">
        <x:v>Inspection</x:v>
      </x:c>
      <x:c r="G9" s="18" t="str">
        <x:v>Active</x:v>
      </x:c>
      <x:c r="H9" s="18" t="str"/>
      <x:c r="I9" s="18" t="str">
        <x:v>Mechanical</x:v>
      </x:c>
      <x:c r="J9" s="18" t="str">
        <x:v>Single well-mixed zone approximation.</x:v>
      </x:c>
    </x:row>
    <x:row r="10">
      <x:c r="A10" s="18" t="str">
        <x:v>IAQ-PER-002</x:v>
      </x:c>
      <x:c r="B10" s="18" t="str">
        <x:v>URS-IAQ-001 Rev A</x:v>
      </x:c>
      <x:c r="C10" s="18" t="str">
        <x:v>The nominal air density for ventilation mass-flow conversion shall be 1.2 kg/m^3.</x:v>
      </x:c>
      <x:c r="D10" s="18" t="str">
        <x:v>Performance</x:v>
      </x:c>
      <x:c r="E10" s="18" t="str">
        <x:v>Should</x:v>
      </x:c>
      <x:c r="F10" s="18" t="str">
        <x:v>Inspection</x:v>
      </x:c>
      <x:c r="G10" s="18" t="str">
        <x:v>Active</x:v>
      </x:c>
      <x:c r="H10" s="18" t="str"/>
      <x:c r="I10" s="18" t="str">
        <x:v>Mechanical</x:v>
      </x:c>
      <x:c r="J10" s="18" t="str">
        <x:v>Used by ACH-to-mass-flow gain.</x:v>
      </x:c>
    </x:row>
    <x:row r="11">
      <x:c r="A11" s="18" t="str">
        <x:v>IAQ-PER-003</x:v>
      </x:c>
      <x:c r="B11" s="18" t="str">
        <x:v>URS-IAQ-001 Rev A</x:v>
      </x:c>
      <x:c r="C11" s="18" t="str">
        <x:v>Each occupant shall contribute 8.18E-6 kg/s of CO2 at the design activity level.</x:v>
      </x:c>
      <x:c r="D11" s="18" t="str">
        <x:v>Performance</x:v>
      </x:c>
      <x:c r="E11" s="18" t="str">
        <x:v>Must</x:v>
      </x:c>
      <x:c r="F11" s="18" t="str">
        <x:v>Analysis</x:v>
      </x:c>
      <x:c r="G11" s="18" t="str">
        <x:v>Active</x:v>
      </x:c>
      <x:c r="H11" s="18" t="str"/>
      <x:c r="I11" s="18" t="str">
        <x:v>IAQ</x:v>
      </x:c>
      <x:c r="J11" s="18" t="str">
        <x:v>Actual trace-substance emission, not source-carrier mass flow.</x:v>
      </x:c>
    </x:row>
    <x:row r="12">
      <x:c r="A12" s="18" t="str">
        <x:v>IAQ-PER-004</x:v>
      </x:c>
      <x:c r="B12" s="18" t="str">
        <x:v>MOD-NT-03</x:v>
      </x:c>
      <x:c r="C12" s="18" t="str">
        <x:v>The peopleSource implementation shall use a trace-substance concentration parameter of 100 kg/kg and a carrier mass-flow command equal to occupant CO2 generation divided by 100.</x:v>
      </x:c>
      <x:c r="D12" s="18" t="str">
        <x:v>Modeling</x:v>
      </x:c>
      <x:c r="E12" s="18" t="str">
        <x:v>Must</x:v>
      </x:c>
      <x:c r="F12" s="18" t="str">
        <x:v>Model Review</x:v>
      </x:c>
      <x:c r="G12" s="18" t="str">
        <x:v>Active</x:v>
      </x:c>
      <x:c r="H12" s="18" t="str"/>
      <x:c r="I12" s="18" t="str">
        <x:v>Simulation</x:v>
      </x:c>
      <x:c r="J12" s="18" t="str">
        <x:v>Numerical modeling device used to make carrier mass contribution negligible.</x:v>
      </x:c>
    </x:row>
    <x:row r="13">
      <x:c r="A13" s="18" t="str">
        <x:v>IAQ-PER-005</x:v>
      </x:c>
      <x:c r="B13" s="18" t="str">
        <x:v>MOD-NT-03</x:v>
      </x:c>
      <x:c r="C13" s="18" t="str">
        <x:v>The nominal trace-substance concentration used for equation scaling shall be 1.519E-3 kg/kg.</x:v>
      </x:c>
      <x:c r="D13" s="18" t="str">
        <x:v>Modeling</x:v>
      </x:c>
      <x:c r="E13" s="18" t="str">
        <x:v>Must</x:v>
      </x:c>
      <x:c r="F13" s="18" t="str">
        <x:v>Model Review</x:v>
      </x:c>
      <x:c r="G13" s="18" t="str">
        <x:v>Active</x:v>
      </x:c>
      <x:c r="H13" s="18" t="str"/>
      <x:c r="I13" s="18" t="str">
        <x:v>Simulation</x:v>
      </x:c>
      <x:c r="J13" s="18" t="str">
        <x:v>Corresponds to 1000 ppm under the project conversion convention.</x:v>
      </x:c>
    </x:row>
    <x:row r="14">
      <x:c r="A14" s="18" t="str">
        <x:v>IAQ-PER-006</x:v>
      </x:c>
      <x:c r="B14" s="18" t="str">
        <x:v>URS-IAQ-001 Rev A</x:v>
      </x:c>
      <x:c r="C14" s="18" t="str">
        <x:v>The fresh-air concentration of 300 ppm shall be represented as 0.3 times the nominal 1000 ppm mass fraction.</x:v>
      </x:c>
      <x:c r="D14" s="18" t="str">
        <x:v>Modeling</x:v>
      </x:c>
      <x:c r="E14" s="18" t="str">
        <x:v>Must</x:v>
      </x:c>
      <x:c r="F14" s="18" t="str">
        <x:v>Analysis</x:v>
      </x:c>
      <x:c r="G14" s="18" t="str">
        <x:v>Active</x:v>
      </x:c>
      <x:c r="H14" s="18" t="str"/>
      <x:c r="I14" s="18" t="str">
        <x:v>Simulation</x:v>
      </x:c>
      <x:c r="J14" s="18" t="str">
        <x:v>C_out = 0.3 * 1.519E-3 kg/kg.</x:v>
      </x:c>
    </x:row>
    <x:row r="15">
      <x:c r="A15" s="18" t="str">
        <x:v>IAQ-CTL-001</x:v>
      </x:c>
      <x:c r="B15" s="18" t="str">
        <x:v>CDS-IAQ-02 Rev B</x:v>
      </x:c>
      <x:c r="C15" s="18" t="str">
        <x:v>The controller input shall be normalized such that a measured concentration of 1.519E-3 kg/kg produces a normalized value of 1.0.</x:v>
      </x:c>
      <x:c r="D15" s="18" t="str">
        <x:v>Control</x:v>
      </x:c>
      <x:c r="E15" s="18" t="str">
        <x:v>Must</x:v>
      </x:c>
      <x:c r="F15" s="18" t="str">
        <x:v>Model Review/Test</x:v>
      </x:c>
      <x:c r="G15" s="18" t="str">
        <x:v>Active</x:v>
      </x:c>
      <x:c r="H15" s="18" t="str"/>
      <x:c r="I15" s="18" t="str">
        <x:v>Controls</x:v>
      </x:c>
      <x:c r="J15" s="18" t="str">
        <x:v>Sensor normalization gain = 1/C_nominal.</x:v>
      </x:c>
    </x:row>
    <x:row r="16">
      <x:c r="A16" s="18" t="str">
        <x:v>IAQ-CTL-002</x:v>
      </x:c>
      <x:c r="B16" s="18" t="str">
        <x:v>CDS-IAQ-02 Rev B</x:v>
      </x:c>
      <x:c r="C16" s="18" t="str">
        <x:v>The CO2 setpoint presented to the controller shall be 1.0 in normalized concentration units.</x:v>
      </x:c>
      <x:c r="D16" s="18" t="str">
        <x:v>Control</x:v>
      </x:c>
      <x:c r="E16" s="18" t="str">
        <x:v>Must</x:v>
      </x:c>
      <x:c r="F16" s="18" t="str">
        <x:v>Model Review</x:v>
      </x:c>
      <x:c r="G16" s="18" t="str">
        <x:v>Active</x:v>
      </x:c>
      <x:c r="H16" s="18" t="str"/>
      <x:c r="I16" s="18" t="str">
        <x:v>Controls</x:v>
      </x:c>
      <x:c r="J16" s="18" t="str">
        <x:v>Equivalent to 1000 ppm.</x:v>
      </x:c>
    </x:row>
    <x:row r="17">
      <x:c r="A17" s="18" t="str">
        <x:v>IAQ-CTL-003</x:v>
      </x:c>
      <x:c r="B17" s="18" t="str">
        <x:v>CDS-IAQ-02 Rev B</x:v>
      </x:c>
      <x:c r="C17" s="18" t="str">
        <x:v>The ventilation controller output shall represent an air-change-rate command in ACH.</x:v>
      </x:c>
      <x:c r="D17" s="18" t="str">
        <x:v>Control</x:v>
      </x:c>
      <x:c r="E17" s="18" t="str">
        <x:v>Must</x:v>
      </x:c>
      <x:c r="F17" s="18" t="str">
        <x:v>Model Review</x:v>
      </x:c>
      <x:c r="G17" s="18" t="str">
        <x:v>Active</x:v>
      </x:c>
      <x:c r="H17" s="18" t="str"/>
      <x:c r="I17" s="18" t="str">
        <x:v>Controls</x:v>
      </x:c>
      <x:c r="J17" s="18" t="str">
        <x:v>Range limited by IAQ-CTL-004.</x:v>
      </x:c>
    </x:row>
    <x:row r="18">
      <x:c r="A18" s="18" t="str">
        <x:v>IAQ-CTL-004</x:v>
      </x:c>
      <x:c r="B18" s="18" t="str">
        <x:v>CDS-IAQ-02 Rev B</x:v>
      </x:c>
      <x:c r="C18" s="18" t="str">
        <x:v>The ventilation command shall be limited to 0.2 through 6.0 ACH during automatic operation.</x:v>
      </x:c>
      <x:c r="D18" s="18" t="str">
        <x:v>Control</x:v>
      </x:c>
      <x:c r="E18" s="18" t="str">
        <x:v>Must</x:v>
      </x:c>
      <x:c r="F18" s="18" t="str">
        <x:v>Simulation/Test</x:v>
      </x:c>
      <x:c r="G18" s="18" t="str">
        <x:v>Active</x:v>
      </x:c>
      <x:c r="H18" s="18" t="str"/>
      <x:c r="I18" s="18" t="str">
        <x:v>Controls</x:v>
      </x:c>
      <x:c r="J18" s="18" t="str">
        <x:v>Prevents zero ventilation and caps fan/source capacity.</x:v>
      </x:c>
    </x:row>
    <x:row r="19">
      <x:c r="A19" s="18" t="str">
        <x:v>IAQ-CTL-005</x:v>
      </x:c>
      <x:c r="B19" s="18" t="str">
        <x:v>CDS-IAQ-02 Rev B</x:v>
      </x:c>
      <x:c r="C19" s="18" t="str">
        <x:v>The ACH command shall be converted to source mass-flow magnitude using room volume, nominal air density and 3600 s/h.</x:v>
      </x:c>
      <x:c r="D19" s="18" t="str">
        <x:v>Control</x:v>
      </x:c>
      <x:c r="E19" s="18" t="str">
        <x:v>Must</x:v>
      </x:c>
      <x:c r="F19" s="18" t="str">
        <x:v>Analysis</x:v>
      </x:c>
      <x:c r="G19" s="18" t="str">
        <x:v>Active</x:v>
      </x:c>
      <x:c r="H19" s="18" t="str"/>
      <x:c r="I19" s="18" t="str">
        <x:v>Controls</x:v>
      </x:c>
      <x:c r="J19" s="18" t="str">
        <x:v>m_air = ACH*V*rho/3600.</x:v>
      </x:c>
    </x:row>
    <x:row r="20">
      <x:c r="A20" s="18" t="str">
        <x:v>IAQ-CTL-006</x:v>
      </x:c>
      <x:c r="B20" s="18" t="str">
        <x:v>CDS-IAQ-02 Rev B</x:v>
      </x:c>
      <x:c r="C20" s="18" t="str">
        <x:v>The simulation source component shall use negative mass-flow sign for air entering the room because of the source-port sign convention.</x:v>
      </x:c>
      <x:c r="D20" s="18" t="str">
        <x:v>Interface</x:v>
      </x:c>
      <x:c r="E20" s="18" t="str">
        <x:v>Must</x:v>
      </x:c>
      <x:c r="F20" s="18" t="str">
        <x:v>Model Review</x:v>
      </x:c>
      <x:c r="G20" s="18" t="str">
        <x:v>Active</x:v>
      </x:c>
      <x:c r="H20" s="18" t="str"/>
      <x:c r="I20" s="18" t="str">
        <x:v>Simulation</x:v>
      </x:c>
      <x:c r="J20" s="18" t="str">
        <x:v>Physical flow into room remains positive.</x:v>
      </x:c>
    </x:row>
    <x:row r="21">
      <x:c r="A21" s="18" t="str">
        <x:v>IAQ-CTL-007</x:v>
      </x:c>
      <x:c r="B21" s="18" t="str">
        <x:v>DR-IAQ-05</x:v>
      </x:c>
      <x:c r="C21" s="18" t="str">
        <x:v>The controller shall use the absolute 1000 ppm room concentration as its compliance limit.</x:v>
      </x:c>
      <x:c r="D21" s="18" t="str">
        <x:v>Control</x:v>
      </x:c>
      <x:c r="E21" s="18" t="str">
        <x:v>Must</x:v>
      </x:c>
      <x:c r="F21" s="18" t="str">
        <x:v>Review/Test</x:v>
      </x:c>
      <x:c r="G21" s="18" t="str">
        <x:v>Active</x:v>
      </x:c>
      <x:c r="H21" s="18" t="str"/>
      <x:c r="I21" s="18" t="str">
        <x:v>Controls</x:v>
      </x:c>
      <x:c r="J21" s="18" t="str">
        <x:v>Closes ambiguity from an email suggesting 1000 ppm above outdoor.</x:v>
      </x:c>
    </x:row>
    <x:row r="22">
      <x:c r="A22" s="18" t="str">
        <x:v>IAQ-CTL-008</x:v>
      </x:c>
      <x:c r="B22" s="18" t="str">
        <x:v>CDS-IAQ-02 Rev A</x:v>
      </x:c>
      <x:c r="C22" s="18" t="str">
        <x:v>The controller proportional gain shall be 4.0 ACH per normalized concentration error.</x:v>
      </x:c>
      <x:c r="D22" s="18" t="str">
        <x:v>Control</x:v>
      </x:c>
      <x:c r="E22" s="18" t="str">
        <x:v>Should</x:v>
      </x:c>
      <x:c r="F22" s="18" t="str">
        <x:v>Simulation</x:v>
      </x:c>
      <x:c r="G22" s="18" t="str">
        <x:v>Superseded</x:v>
      </x:c>
      <x:c r="H22" s="18" t="str">
        <x:v>CR-IAQ-007</x:v>
      </x:c>
      <x:c r="I22" s="18" t="str">
        <x:v>Controls</x:v>
      </x:c>
      <x:c r="J22" s="18" t="str">
        <x:v>Legacy tuning produced slow response.</x:v>
      </x:c>
    </x:row>
    <x:row r="23">
      <x:c r="A23" s="18" t="str">
        <x:v>IAQ-CTL-009</x:v>
      </x:c>
      <x:c r="B23" s="18" t="str">
        <x:v>CR-IAQ-007</x:v>
      </x:c>
      <x:c r="C23" s="18" t="str">
        <x:v>The controller proportional gain shall be 6.0 ACH per normalized concentration error with an output bias of 3.5 ACH.</x:v>
      </x:c>
      <x:c r="D23" s="18" t="str">
        <x:v>Control</x:v>
      </x:c>
      <x:c r="E23" s="18" t="str">
        <x:v>Should</x:v>
      </x:c>
      <x:c r="F23" s="18" t="str">
        <x:v>Simulation</x:v>
      </x:c>
      <x:c r="G23" s="18" t="str">
        <x:v>Active</x:v>
      </x:c>
      <x:c r="H23" s="18" t="str"/>
      <x:c r="I23" s="18" t="str">
        <x:v>Controls</x:v>
      </x:c>
      <x:c r="J23" s="18" t="str">
        <x:v>Approved demo tuning.</x:v>
      </x:c>
    </x:row>
    <x:row r="24">
      <x:c r="A24" s="18" t="str">
        <x:v>IAQ-CTL-010</x:v>
      </x:c>
      <x:c r="B24" s="18" t="str">
        <x:v>CR-IAQ-007</x:v>
      </x:c>
      <x:c r="C24" s="18" t="str">
        <x:v>Integral action shall be disabled in the released hackathon reference run to avoid negative windup during long unoccupied periods.</x:v>
      </x:c>
      <x:c r="D24" s="18" t="str">
        <x:v>Control</x:v>
      </x:c>
      <x:c r="E24" s="18" t="str">
        <x:v>Should</x:v>
      </x:c>
      <x:c r="F24" s="18" t="str">
        <x:v>Simulation</x:v>
      </x:c>
      <x:c r="G24" s="18" t="str">
        <x:v>Active</x:v>
      </x:c>
      <x:c r="H24" s="18" t="str"/>
      <x:c r="I24" s="18" t="str">
        <x:v>Controls</x:v>
      </x:c>
      <x:c r="J24" s="18" t="str">
        <x:v>Block may still be named PID in the legacy model.</x:v>
      </x:c>
    </x:row>
    <x:row r="25">
      <x:c r="A25" s="18" t="str">
        <x:v>IAQ-SCH-001</x:v>
      </x:c>
      <x:c r="B25" s="18" t="str">
        <x:v>OCC-SCH-04</x:v>
      </x:c>
      <x:c r="C25" s="18" t="str">
        <x:v>The controller demonstration shall use the approved weekday occupancy schedule with a maximum of 15 occupants.</x:v>
      </x:c>
      <x:c r="D25" s="18" t="str">
        <x:v>Schedule</x:v>
      </x:c>
      <x:c r="E25" s="18" t="str">
        <x:v>Must</x:v>
      </x:c>
      <x:c r="F25" s="18" t="str">
        <x:v>Inspection/Test</x:v>
      </x:c>
      <x:c r="G25" s="18" t="str">
        <x:v>Active</x:v>
      </x:c>
      <x:c r="H25" s="18" t="str"/>
      <x:c r="I25" s="18" t="str">
        <x:v>Operations</x:v>
      </x:c>
      <x:c r="J25" s="18" t="str">
        <x:v>Detailed schedule is provided separately.</x:v>
      </x:c>
    </x:row>
    <x:row r="26">
      <x:c r="A26" s="18" t="str">
        <x:v>IAQ-SCH-002</x:v>
      </x:c>
      <x:c r="B26" s="18" t="str">
        <x:v>OCC-SCH-04</x:v>
      </x:c>
      <x:c r="C26" s="18" t="str">
        <x:v>The number-of-people signal shall be piecewise constant between defined schedule change times.</x:v>
      </x:c>
      <x:c r="D26" s="18" t="str">
        <x:v>Schedule</x:v>
      </x:c>
      <x:c r="E26" s="18" t="str">
        <x:v>Must</x:v>
      </x:c>
      <x:c r="F26" s="18" t="str">
        <x:v>Inspection</x:v>
      </x:c>
      <x:c r="G26" s="18" t="str">
        <x:v>Active</x:v>
      </x:c>
      <x:c r="H26" s="18" t="str"/>
      <x:c r="I26" s="18" t="str">
        <x:v>Operations</x:v>
      </x:c>
      <x:c r="J26" s="18" t="str">
        <x:v>No interpolation between occupancy steps.</x:v>
      </x:c>
    </x:row>
    <x:row r="27">
      <x:c r="A27" s="18" t="str">
        <x:v>IAQ-INT-001</x:v>
      </x:c>
      <x:c r="B27" s="18" t="str">
        <x:v>ICD-IAQ-03</x:v>
      </x:c>
      <x:c r="C27" s="18" t="str">
        <x:v>The room CO2 measurement shall be represented internally as a Real-valued trace-substance mass fraction in kg/kg.</x:v>
      </x:c>
      <x:c r="D27" s="18" t="str">
        <x:v>Interface</x:v>
      </x:c>
      <x:c r="E27" s="18" t="str">
        <x:v>Must</x:v>
      </x:c>
      <x:c r="F27" s="18" t="str">
        <x:v>Inspection</x:v>
      </x:c>
      <x:c r="G27" s="18" t="str">
        <x:v>Active</x:v>
      </x:c>
      <x:c r="H27" s="18" t="str"/>
      <x:c r="I27" s="18" t="str">
        <x:v>Controls</x:v>
      </x:c>
      <x:c r="J27" s="18" t="str">
        <x:v>A display conversion may report ppm.</x:v>
      </x:c>
    </x:row>
    <x:row r="28">
      <x:c r="A28" s="18" t="str">
        <x:v>IAQ-INT-002</x:v>
      </x:c>
      <x:c r="B28" s="18" t="str">
        <x:v>ICD-IAQ-03</x:v>
      </x:c>
      <x:c r="C28" s="18" t="str">
        <x:v>The controller shall provide a Real-valued ACH command to the airflow conversion gain.</x:v>
      </x:c>
      <x:c r="D28" s="18" t="str">
        <x:v>Interface</x:v>
      </x:c>
      <x:c r="E28" s="18" t="str">
        <x:v>Must</x:v>
      </x:c>
      <x:c r="F28" s="18" t="str">
        <x:v>Inspection</x:v>
      </x:c>
      <x:c r="G28" s="18" t="str">
        <x:v>Active</x:v>
      </x:c>
      <x:c r="H28" s="18" t="str"/>
      <x:c r="I28" s="18" t="str">
        <x:v>Controls</x:v>
      </x:c>
      <x:c r="J28" s="18" t="str">
        <x:v>Not a direct valve command.</x:v>
      </x:c>
    </x:row>
    <x:row r="29">
      <x:c r="A29" s="18" t="str">
        <x:v>IAQ-INT-003</x:v>
      </x:c>
      <x:c r="B29" s="18" t="str">
        <x:v>ICD-IAQ-03</x:v>
      </x:c>
      <x:c r="C29" s="18" t="str">
        <x:v>The occupancy schedule shall provide an integer-valued people count to the CO2 source calculation.</x:v>
      </x:c>
      <x:c r="D29" s="18" t="str">
        <x:v>Interface</x:v>
      </x:c>
      <x:c r="E29" s="18" t="str">
        <x:v>Must</x:v>
      </x:c>
      <x:c r="F29" s="18" t="str">
        <x:v>Inspection</x:v>
      </x:c>
      <x:c r="G29" s="18" t="str">
        <x:v>Active</x:v>
      </x:c>
      <x:c r="H29" s="18" t="str"/>
      <x:c r="I29" s="18" t="str">
        <x:v>Controls</x:v>
      </x:c>
      <x:c r="J29" s="18" t="str">
        <x:v>Values 0..15 for released test.</x:v>
      </x:c>
    </x:row>
    <x:row r="30">
      <x:c r="A30" s="18" t="str">
        <x:v>IAQ-INT-004</x:v>
      </x:c>
      <x:c r="B30" s="18" t="str">
        <x:v>ICD-IAQ-03</x:v>
      </x:c>
      <x:c r="C30" s="18" t="str">
        <x:v>The fresh-air source shall receive both a mass-flow command and a trace-substance concentration parameter.</x:v>
      </x:c>
      <x:c r="D30" s="18" t="str">
        <x:v>Interface</x:v>
      </x:c>
      <x:c r="E30" s="18" t="str">
        <x:v>Must</x:v>
      </x:c>
      <x:c r="F30" s="18" t="str">
        <x:v>Inspection</x:v>
      </x:c>
      <x:c r="G30" s="18" t="str">
        <x:v>Active</x:v>
      </x:c>
      <x:c r="H30" s="18" t="str"/>
      <x:c r="I30" s="18" t="str">
        <x:v>Simulation</x:v>
      </x:c>
      <x:c r="J30" s="18" t="str">
        <x:v>Two independent inputs/properties.</x:v>
      </x:c>
    </x:row>
    <x:row r="31">
      <x:c r="A31" s="18" t="str">
        <x:v>IAQ-SAF-001</x:v>
      </x:c>
      <x:c r="B31" s="18" t="str">
        <x:v>DR-IAQ-05</x:v>
      </x:c>
      <x:c r="C31" s="18" t="str">
        <x:v>If the room CO2 sensor signal is invalid for more than 60 s, the controller shall command 4.0 ACH and raise a sensor-fault indication.</x:v>
      </x:c>
      <x:c r="D31" s="18" t="str">
        <x:v>Safety</x:v>
      </x:c>
      <x:c r="E31" s="18" t="str">
        <x:v>Should</x:v>
      </x:c>
      <x:c r="F31" s="18" t="str">
        <x:v>Test</x:v>
      </x:c>
      <x:c r="G31" s="18" t="str">
        <x:v>Active</x:v>
      </x:c>
      <x:c r="H31" s="18" t="str"/>
      <x:c r="I31" s="18" t="str">
        <x:v>Controls</x:v>
      </x:c>
      <x:c r="J31" s="18" t="str">
        <x:v>Fault logic is documented but not exercised by the baseline trend file.</x:v>
      </x:c>
    </x:row>
    <x:row r="32">
      <x:c r="A32" s="18" t="str">
        <x:v>IAQ-VER-001</x:v>
      </x:c>
      <x:c r="B32" s="18" t="str">
        <x:v>CP-23 Rev C</x:v>
      </x:c>
      <x:c r="C32" s="18" t="str">
        <x:v>The 24-hour reference simulation shall log room CO2, outdoor CO2, occupant count, ACH command and physical supply mass flow at 60 s intervals.</x:v>
      </x:c>
      <x:c r="D32" s="18" t="str">
        <x:v>Verification</x:v>
      </x:c>
      <x:c r="E32" s="18" t="str">
        <x:v>Must</x:v>
      </x:c>
      <x:c r="F32" s="18" t="str">
        <x:v>Test</x:v>
      </x:c>
      <x:c r="G32" s="18" t="str">
        <x:v>Active</x:v>
      </x:c>
      <x:c r="H32" s="18" t="str"/>
      <x:c r="I32" s="18" t="str">
        <x:v>V&amp;V</x:v>
      </x:c>
      <x:c r="J32" s="18" t="str">
        <x:v>1441 records including both endpoints.</x:v>
      </x:c>
    </x:row>
    <x:row r="33">
      <x:c r="A33" s="18" t="str">
        <x:v>IAQ-VER-002</x:v>
      </x:c>
      <x:c r="B33" s="18" t="str">
        <x:v>CP-23 Rev C</x:v>
      </x:c>
      <x:c r="C33" s="18" t="str">
        <x:v>During the approved 24-hour reference run, the maximum room CO2 concentration shall be no greater than 1000 ppm.</x:v>
      </x:c>
      <x:c r="D33" s="18" t="str">
        <x:v>Verification</x:v>
      </x:c>
      <x:c r="E33" s="18" t="str">
        <x:v>Must</x:v>
      </x:c>
      <x:c r="F33" s="18" t="str">
        <x:v>Test</x:v>
      </x:c>
      <x:c r="G33" s="18" t="str">
        <x:v>Active</x:v>
      </x:c>
      <x:c r="H33" s="18" t="str"/>
      <x:c r="I33" s="18" t="str">
        <x:v>V&amp;V</x:v>
      </x:c>
      <x:c r="J33" s="18" t="str">
        <x:v>Reference dataset generated using effective parameters.</x:v>
      </x:c>
    </x:row>
    <x:row r="34">
      <x:c r="A34" s="18" t="str">
        <x:v>IAQ-DAT-001</x:v>
      </x:c>
      <x:c r="B34" s="18" t="str">
        <x:v>ICD-IAQ-03</x:v>
      </x:c>
      <x:c r="C34" s="18" t="str">
        <x:v>The conversion between ppm and kg/kg for this benchmark shall use molecular weights 44.01 kg/kmol for CO2 and 28.97 kg/kmol for dry air.</x:v>
      </x:c>
      <x:c r="D34" s="18" t="str">
        <x:v>Data</x:v>
      </x:c>
      <x:c r="E34" s="18" t="str">
        <x:v>Must</x:v>
      </x:c>
      <x:c r="F34" s="18" t="str">
        <x:v>Analysis</x:v>
      </x:c>
      <x:c r="G34" s="18" t="str">
        <x:v>Active</x:v>
      </x:c>
      <x:c r="H34" s="18" t="str"/>
      <x:c r="I34" s="18" t="str">
        <x:v>Simulation</x:v>
      </x:c>
      <x:c r="J34" s="18" t="str">
        <x:v>Mass fraction approx ppm/1E6 * MW_CO2/MW_air.</x:v>
      </x:c>
    </x:row>
    <x:row r="35">
      <x:c r="A35" s="18" t="str">
        <x:v>IAQ-DAT-002</x:v>
      </x:c>
      <x:c r="B35" s="18" t="str">
        <x:v>DR-IAQ-05</x:v>
      </x:c>
      <x:c r="C35" s="18" t="str">
        <x:v>The value C={100} kg/kg in the peopleSource shall not be interpreted as the physical room concentration or a realistic gas mixture composition.</x:v>
      </x:c>
      <x:c r="D35" s="18" t="str">
        <x:v>Data</x:v>
      </x:c>
      <x:c r="E35" s="18" t="str">
        <x:v>Must</x:v>
      </x:c>
      <x:c r="F35" s="18" t="str">
        <x:v>Review</x:v>
      </x:c>
      <x:c r="G35" s="18" t="str">
        <x:v>Active</x:v>
      </x:c>
      <x:c r="H35" s="18" t="str"/>
      <x:c r="I35" s="18" t="str">
        <x:v>Simulation</x:v>
      </x:c>
      <x:c r="J35" s="18" t="str">
        <x:v>It is an implementation scaling parameter only.</x:v>
      </x:c>
    </x:row>
  </x:sheetData>
  <x:mergeCells>
    <x:mergeCell ref="A1:J1"/>
  </x:mergeCells>
  <x:dataValidations count="2">
    <x:dataValidation type="list" sqref="G4:G35">
      <x:formula1>"Active,Superseded,Draft"</x:formula1>
    </x:dataValidation>
    <x:dataValidation type="list" sqref="E4:E35">
      <x:formula1>"Must,Should,May"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16e84555d140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5" hidden="0" customWidth="1"/>
    <x:col min="5" max="5" width="20" hidden="0" customWidth="1"/>
    <x:col min="6" max="6" width="14" hidden="0" customWidth="1"/>
    <x:col min="7" max="7" width="16" hidden="0" customWidth="1"/>
    <x:col min="8" max="8" width="24" hidden="0" customWidth="1"/>
    <x:col min="9" max="9" width="24" hidden="0" customWidth="1"/>
    <x:col min="10" max="10" width="18" hidden="0" customWidth="1"/>
    <x:col min="11" max="11" width="34" hidden="0" customWidth="1"/>
  </x:cols>
  <x:sheetData>
    <x:row r="1">
      <x:c r="A1" s="4" t="str">
        <x:v>Component and Functional Block Schedule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Tag</x:v>
      </x:c>
      <x:c r="B3" s="12" t="str">
        <x:v>Alias / Legacy Name</x:v>
      </x:c>
      <x:c r="C3" s="12" t="str">
        <x:v>Type</x:v>
      </x:c>
      <x:c r="D3" s="12" t="str">
        <x:v>Role</x:v>
      </x:c>
      <x:c r="E3" s="12" t="str">
        <x:v>Key Parameter</x:v>
      </x:c>
      <x:c r="F3" s="12" t="str">
        <x:v>Value</x:v>
      </x:c>
      <x:c r="G3" s="12" t="str">
        <x:v>Units</x:v>
      </x:c>
      <x:c r="H3" s="12" t="str">
        <x:v>Input(s)</x:v>
      </x:c>
      <x:c r="I3" s="12" t="str">
        <x:v>Output(s)</x:v>
      </x:c>
      <x:c r="J3" s="12" t="str">
        <x:v>Source</x:v>
      </x:c>
      <x:c r="K3" s="12" t="str">
        <x:v>Notes</x:v>
      </x:c>
    </x:row>
    <x:row r="4">
      <x:c r="A4" s="18" t="str">
        <x:v>ZON-201</x:v>
      </x:c>
      <x:c r="B4" s="18" t="str">
        <x:v>volume</x:v>
      </x:c>
      <x:c r="C4" s="18" t="str">
        <x:v>Well-mixed room volume</x:v>
      </x:c>
      <x:c r="D4" s="18" t="str">
        <x:v>Controlled air volume</x:v>
      </x:c>
      <x:c r="E4" s="18" t="str">
        <x:v>Volume</x:v>
      </x:c>
      <x:c r="F4" s="18" t="n">
        <x:v>100</x:v>
      </x:c>
      <x:c r="G4" s="18" t="str">
        <x:v>m^3</x:v>
      </x:c>
      <x:c r="H4" s="18" t="str">
        <x:v>Supply flow; occupant source</x:v>
      </x:c>
      <x:c r="I4" s="18" t="str">
        <x:v>Room air state</x:v>
      </x:c>
      <x:c r="J4" s="18" t="str">
        <x:v>MDS-IAQ-01</x:v>
      </x:c>
      <x:c r="K4" s="18" t="str">
        <x:v>Single-zone, perfectly mixed approximation.</x:v>
      </x:c>
    </x:row>
    <x:row r="5">
      <x:c r="A5" s="18" t="str">
        <x:v>SRC-OA-201</x:v>
      </x:c>
      <x:c r="B5" s="18" t="str">
        <x:v>freshAir</x:v>
      </x:c>
      <x:c r="C5" s="18" t="str">
        <x:v>Controlled mass-flow source</x:v>
      </x:c>
      <x:c r="D5" s="18" t="str">
        <x:v>Outdoor air supply</x:v>
      </x:c>
      <x:c r="E5" s="18" t="str">
        <x:v>Outdoor CO2</x:v>
      </x:c>
      <x:c r="F5" s="18" t="n">
        <x:v>300</x:v>
      </x:c>
      <x:c r="G5" s="18" t="str">
        <x:v>ppm</x:v>
      </x:c>
      <x:c r="H5" s="18" t="str">
        <x:v>m_flow command</x:v>
      </x:c>
      <x:c r="I5" s="18" t="str">
        <x:v>Air + trace substance</x:v>
      </x:c>
      <x:c r="J5" s="18" t="str">
        <x:v>MDS-IAQ-01</x:v>
      </x:c>
      <x:c r="K5" s="18" t="str">
        <x:v>Simulation source sign is negative for inflow.</x:v>
      </x:c>
    </x:row>
    <x:row r="6">
      <x:c r="A6" s="18" t="str">
        <x:v>BND-201</x:v>
      </x:c>
      <x:c r="B6" s="18" t="str">
        <x:v>boundary4</x:v>
      </x:c>
      <x:c r="C6" s="18" t="str">
        <x:v>Pressure boundary</x:v>
      </x:c>
      <x:c r="D6" s="18" t="str">
        <x:v>Room exhaust sink</x:v>
      </x:c>
      <x:c r="E6" s="18" t="str">
        <x:v>Pressure</x:v>
      </x:c>
      <x:c r="F6" s="18" t="n">
        <x:v>101325</x:v>
      </x:c>
      <x:c r="G6" s="18" t="str">
        <x:v>Pa</x:v>
      </x:c>
      <x:c r="H6" s="18" t="str">
        <x:v>Exhaust flow</x:v>
      </x:c>
      <x:c r="I6" s="18" t="str">
        <x:v>Boundary connection</x:v>
      </x:c>
      <x:c r="J6" s="18" t="str">
        <x:v>MDS-IAQ-01</x:v>
      </x:c>
      <x:c r="K6" s="18" t="str">
        <x:v>Ideal pressure sink.</x:v>
      </x:c>
    </x:row>
    <x:row r="7">
      <x:c r="A7" s="18" t="str">
        <x:v>SRC-CO2-201</x:v>
      </x:c>
      <x:c r="B7" s="18" t="str">
        <x:v>peopleSource</x:v>
      </x:c>
      <x:c r="C7" s="18" t="str">
        <x:v>Trace-substance mass source</x:v>
      </x:c>
      <x:c r="D7" s="18" t="str">
        <x:v>Occupant CO2 generation</x:v>
      </x:c>
      <x:c r="E7" s="18" t="str">
        <x:v>C_source</x:v>
      </x:c>
      <x:c r="F7" s="18" t="n">
        <x:v>100</x:v>
      </x:c>
      <x:c r="G7" s="18" t="str">
        <x:v>kg/kg</x:v>
      </x:c>
      <x:c r="H7" s="18" t="str">
        <x:v>Scaled m_flow</x:v>
      </x:c>
      <x:c r="I7" s="18" t="str">
        <x:v>Trace substance into room</x:v>
      </x:c>
      <x:c r="J7" s="18" t="str">
        <x:v>MOD-NT-03</x:v>
      </x:c>
      <x:c r="K7" s="18" t="str">
        <x:v>Carrier mass flow is emission/100.</x:v>
      </x:c>
    </x:row>
    <x:row r="8">
      <x:c r="A8" s="18" t="str">
        <x:v>SCH-OCC-201</x:v>
      </x:c>
      <x:c r="B8" s="18" t="str">
        <x:v>NumberOfPeople</x:v>
      </x:c>
      <x:c r="C8" s="18" t="str">
        <x:v>Occupancy schedule</x:v>
      </x:c>
      <x:c r="D8" s="18" t="str">
        <x:v>People count source</x:v>
      </x:c>
      <x:c r="E8" s="18" t="str">
        <x:v>Maximum occupancy</x:v>
      </x:c>
      <x:c r="F8" s="18" t="n">
        <x:v>15</x:v>
      </x:c>
      <x:c r="G8" s="18" t="str">
        <x:v>person</x:v>
      </x:c>
      <x:c r="H8" s="18" t="str"/>
      <x:c r="I8" s="18" t="str">
        <x:v>nPeo</x:v>
      </x:c>
      <x:c r="J8" s="18" t="str">
        <x:v>OCC-SCH-04</x:v>
      </x:c>
      <x:c r="K8" s="18" t="str">
        <x:v>Piecewise constant weekday schedule.</x:v>
      </x:c>
    </x:row>
    <x:row r="9">
      <x:c r="A9" s="18" t="str">
        <x:v>SEN-CO2-201</x:v>
      </x:c>
      <x:c r="B9" s="18" t="str">
        <x:v>traceVolume</x:v>
      </x:c>
      <x:c r="C9" s="18" t="str">
        <x:v>CO2 trace sensor</x:v>
      </x:c>
      <x:c r="D9" s="18" t="str">
        <x:v>Measures room concentration</x:v>
      </x:c>
      <x:c r="E9" s="18" t="str">
        <x:v>Nominal concentration</x:v>
      </x:c>
      <x:c r="F9" s="18" t="n">
        <x:v>0.001519</x:v>
      </x:c>
      <x:c r="G9" s="18" t="str">
        <x:v>kg/kg</x:v>
      </x:c>
      <x:c r="H9" s="18" t="str">
        <x:v>Room trace state</x:v>
      </x:c>
      <x:c r="I9" s="18" t="str">
        <x:v>C_room</x:v>
      </x:c>
      <x:c r="J9" s="18" t="str">
        <x:v>ICD-IAQ-03</x:v>
      </x:c>
      <x:c r="K9" s="18" t="str">
        <x:v>Ideal sensor in baseline model.</x:v>
      </x:c>
    </x:row>
    <x:row r="10">
      <x:c r="A10" s="18" t="str">
        <x:v>GAIN-NORM-201</x:v>
      </x:c>
      <x:c r="B10" s="18" t="str">
        <x:v>gainSensor</x:v>
      </x:c>
      <x:c r="C10" s="18" t="str">
        <x:v>Gain</x:v>
      </x:c>
      <x:c r="D10" s="18" t="str">
        <x:v>Normalize CO2 measurement</x:v>
      </x:c>
      <x:c r="E10" s="18" t="str">
        <x:v>Gain</x:v>
      </x:c>
      <x:c r="F10" s="18" t="n">
        <x:v>658.327847</x:v>
      </x:c>
      <x:c r="G10" s="18" t="str">
        <x:v>1/(kg/kg)</x:v>
      </x:c>
      <x:c r="H10" s="18" t="str">
        <x:v>C_room</x:v>
      </x:c>
      <x:c r="I10" s="18" t="str">
        <x:v>y_CO2</x:v>
      </x:c>
      <x:c r="J10" s="18" t="str">
        <x:v>CDS-IAQ-02</x:v>
      </x:c>
      <x:c r="K10" s="18" t="str">
        <x:v>1 / 1.519E-3.</x:v>
      </x:c>
    </x:row>
    <x:row r="11">
      <x:c r="A11" s="18" t="str">
        <x:v>CTL-CO2-201</x:v>
      </x:c>
      <x:c r="B11" s="18" t="str">
        <x:v>PID</x:v>
      </x:c>
      <x:c r="C11" s="18" t="str">
        <x:v>PID/P controller</x:v>
      </x:c>
      <x:c r="D11" s="18" t="str">
        <x:v>Ventilation feedback</x:v>
      </x:c>
      <x:c r="E11" s="18" t="str">
        <x:v>Kp</x:v>
      </x:c>
      <x:c r="F11" s="18" t="n">
        <x:v>6</x:v>
      </x:c>
      <x:c r="G11" s="18" t="str">
        <x:v>ACH/normalized</x:v>
      </x:c>
      <x:c r="H11" s="18" t="str">
        <x:v>Setpoint; normalized CO2</x:v>
      </x:c>
      <x:c r="I11" s="18" t="str">
        <x:v>ACH raw</x:v>
      </x:c>
      <x:c r="J11" s="18" t="str">
        <x:v>CR-IAQ-007</x:v>
      </x:c>
      <x:c r="K11" s="18" t="str">
        <x:v>Integral disabled in released reference run.</x:v>
      </x:c>
    </x:row>
    <x:row r="12">
      <x:c r="A12" s="18" t="str">
        <x:v>SET-CO2-201</x:v>
      </x:c>
      <x:c r="B12" s="18" t="str">
        <x:v>CO2Set</x:v>
      </x:c>
      <x:c r="C12" s="18" t="str">
        <x:v>Constant setpoint</x:v>
      </x:c>
      <x:c r="D12" s="18" t="str">
        <x:v>Normalized CO2 limit</x:v>
      </x:c>
      <x:c r="E12" s="18" t="str">
        <x:v>Setpoint</x:v>
      </x:c>
      <x:c r="F12" s="18" t="n">
        <x:v>1</x:v>
      </x:c>
      <x:c r="G12" s="18" t="str">
        <x:v>normalized</x:v>
      </x:c>
      <x:c r="H12" s="18" t="str"/>
      <x:c r="I12" s="18" t="str">
        <x:v>CO2_set</x:v>
      </x:c>
      <x:c r="J12" s="18" t="str">
        <x:v>CDS-IAQ-02</x:v>
      </x:c>
      <x:c r="K12" s="18" t="str">
        <x:v>1.0 = 1000 ppm.</x:v>
      </x:c>
    </x:row>
    <x:row r="13">
      <x:c r="A13" s="18" t="str">
        <x:v>GAIN-AIR-201</x:v>
      </x:c>
      <x:c r="B13" s="18" t="str">
        <x:v>gain1</x:v>
      </x:c>
      <x:c r="C13" s="18" t="str">
        <x:v>Gain</x:v>
      </x:c>
      <x:c r="D13" s="18" t="str">
        <x:v>ACH to source mass flow</x:v>
      </x:c>
      <x:c r="E13" s="18" t="str">
        <x:v>Gain</x:v>
      </x:c>
      <x:c r="F13" s="18" t="n">
        <x:v>-0.0333333333</x:v>
      </x:c>
      <x:c r="G13" s="18" t="str">
        <x:v>kg/s per ACH</x:v>
      </x:c>
      <x:c r="H13" s="18" t="str">
        <x:v>ACH command</x:v>
      </x:c>
      <x:c r="I13" s="18" t="str">
        <x:v>m_flow command</x:v>
      </x:c>
      <x:c r="J13" s="18" t="str">
        <x:v>CDS-IAQ-02</x:v>
      </x:c>
      <x:c r="K13" s="18" t="str">
        <x:v>-V*rho/3600 = -100*1.2/3600.</x:v>
      </x:c>
    </x:row>
    <x:row r="14">
      <x:c r="A14" s="18" t="str">
        <x:v>GAIN-PEO-201</x:v>
      </x:c>
      <x:c r="B14" s="18" t="str">
        <x:v>gain</x:v>
      </x:c>
      <x:c r="C14" s="18" t="str">
        <x:v>Gain</x:v>
      </x:c>
      <x:c r="D14" s="18" t="str">
        <x:v>People count to carrier mass flow</x:v>
      </x:c>
      <x:c r="E14" s="18" t="str">
        <x:v>Gain</x:v>
      </x:c>
      <x:c r="F14" s="18" t="n">
        <x:v>8.18e-8</x:v>
      </x:c>
      <x:c r="G14" s="18" t="str">
        <x:v>kg/(s.person)</x:v>
      </x:c>
      <x:c r="H14" s="18" t="str">
        <x:v>nPeo</x:v>
      </x:c>
      <x:c r="I14" s="18" t="str">
        <x:v>peopleSource.m_flow</x:v>
      </x:c>
      <x:c r="J14" s="18" t="str">
        <x:v>MOD-NT-03</x:v>
      </x:c>
      <x:c r="K14" s="18" t="str">
        <x:v>8.18E-6/100.</x:v>
      </x:c>
    </x:row>
    <x:row r="15">
      <x:c r="A15" s="18" t="str">
        <x:v>SET-OA-201</x:v>
      </x:c>
      <x:c r="B15" s="18" t="str">
        <x:v>CAtm</x:v>
      </x:c>
      <x:c r="C15" s="18" t="str">
        <x:v>Constant</x:v>
      </x:c>
      <x:c r="D15" s="18" t="str">
        <x:v>Outdoor trace concentration</x:v>
      </x:c>
      <x:c r="E15" s="18" t="str">
        <x:v>C_out</x:v>
      </x:c>
      <x:c r="F15" s="18" t="n">
        <x:v>0.0004557</x:v>
      </x:c>
      <x:c r="G15" s="18" t="str">
        <x:v>kg/kg</x:v>
      </x:c>
      <x:c r="H15" s="18" t="str"/>
      <x:c r="I15" s="18" t="str">
        <x:v>C_out</x:v>
      </x:c>
      <x:c r="J15" s="18" t="str">
        <x:v>URS/ICD</x:v>
      </x:c>
      <x:c r="K15" s="18" t="str">
        <x:v>0.3*1.519E-3.</x:v>
      </x:c>
    </x:row>
    <x:row r="16">
      <x:c r="A16" s="18" t="str">
        <x:v>DUCT-IN-201</x:v>
      </x:c>
      <x:c r="B16" s="18" t="str">
        <x:v>ductIn</x:v>
      </x:c>
      <x:c r="C16" s="18" t="str">
        <x:v>Duct segment</x:v>
      </x:c>
      <x:c r="D16" s="18" t="str">
        <x:v>Supply connection</x:v>
      </x:c>
      <x:c r="E16" s="18" t="str">
        <x:v>Ports</x:v>
      </x:c>
      <x:c r="F16" s="18" t="n">
        <x:v>2</x:v>
      </x:c>
      <x:c r="G16" s="18" t="str">
        <x:v>count</x:v>
      </x:c>
      <x:c r="H16" s="18" t="str">
        <x:v>Fresh-air stream</x:v>
      </x:c>
      <x:c r="I16" s="18" t="str">
        <x:v>Room inlet stream</x:v>
      </x:c>
      <x:c r="J16" s="18" t="str">
        <x:v>Diagram</x:v>
      </x:c>
      <x:c r="K16" s="18" t="str">
        <x:v>No dynamic storage in benchmark.</x:v>
      </x:c>
    </x:row>
    <x:row r="17">
      <x:c r="A17" s="18" t="str">
        <x:v>DUCT-OUT-201</x:v>
      </x:c>
      <x:c r="B17" s="18" t="str">
        <x:v>ductOut</x:v>
      </x:c>
      <x:c r="C17" s="18" t="str">
        <x:v>Duct segment</x:v>
      </x:c>
      <x:c r="D17" s="18" t="str">
        <x:v>Exhaust connection</x:v>
      </x:c>
      <x:c r="E17" s="18" t="str">
        <x:v>Ports</x:v>
      </x:c>
      <x:c r="F17" s="18" t="n">
        <x:v>2</x:v>
      </x:c>
      <x:c r="G17" s="18" t="str">
        <x:v>count</x:v>
      </x:c>
      <x:c r="H17" s="18" t="str">
        <x:v>Room outlet stream</x:v>
      </x:c>
      <x:c r="I17" s="18" t="str">
        <x:v>Boundary stream</x:v>
      </x:c>
      <x:c r="J17" s="18" t="str">
        <x:v>Diagram</x:v>
      </x:c>
      <x:c r="K17" s="18" t="str">
        <x:v>No dynamic storage in benchmark.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ab09b6b6ad4471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6" hidden="0" customWidth="1"/>
    <x:col min="4" max="4" width="18" hidden="0" customWidth="1"/>
    <x:col min="5" max="5" width="34" hidden="0" customWidth="1"/>
    <x:col min="6" max="6" width="18" hidden="0" customWidth="1"/>
    <x:col min="7" max="7" width="20" hidden="0" customWidth="1"/>
  </x:cols>
  <x:sheetData>
    <x:row r="1">
      <x:c r="A1" s="4" t="str">
        <x:v>Engineering Parameters and Unit Conversion Calculations</x:v>
      </x:c>
      <x:c r="B1" s="4"/>
      <x:c r="C1" s="4"/>
      <x:c r="D1" s="4"/>
      <x:c r="E1" s="4"/>
      <x:c r="F1" s="4"/>
      <x:c r="G1" s="4"/>
    </x:row>
    <x:row r="3">
      <x:c r="A3" s="12" t="str">
        <x:v>Parameter</x:v>
      </x:c>
      <x:c r="B3" s="12" t="str">
        <x:v>Symbol</x:v>
      </x:c>
      <x:c r="C3" s="12" t="str">
        <x:v>Input Value</x:v>
      </x:c>
      <x:c r="D3" s="12" t="str">
        <x:v>Units</x:v>
      </x:c>
      <x:c r="E3" s="12" t="str">
        <x:v>Formula / Basis</x:v>
      </x:c>
      <x:c r="F3" s="12" t="str">
        <x:v>Derived Value</x:v>
      </x:c>
      <x:c r="G3" s="12" t="str">
        <x:v>Derived Units</x:v>
      </x:c>
    </x:row>
    <x:row r="4">
      <x:c r="A4" s="18" t="str">
        <x:v>CO2 molecular weight</x:v>
      </x:c>
      <x:c r="B4" s="18" t="str">
        <x:v>MW_CO2</x:v>
      </x:c>
      <x:c r="C4" s="20" t="n">
        <x:v>44.01</x:v>
      </x:c>
      <x:c r="D4" s="18" t="str">
        <x:v>kg/kmol</x:v>
      </x:c>
      <x:c r="E4" s="18" t="str">
        <x:v>Input</x:v>
      </x:c>
      <x:c r="F4" s="20" t="str"/>
      <x:c r="G4" s="18" t="str"/>
    </x:row>
    <x:row r="5">
      <x:c r="A5" s="18" t="str">
        <x:v>Dry-air molecular weight</x:v>
      </x:c>
      <x:c r="B5" s="18" t="str">
        <x:v>MW_air</x:v>
      </x:c>
      <x:c r="C5" s="20" t="n">
        <x:v>28.97</x:v>
      </x:c>
      <x:c r="D5" s="18" t="str">
        <x:v>kg/kmol</x:v>
      </x:c>
      <x:c r="E5" s="18" t="str">
        <x:v>Input</x:v>
      </x:c>
      <x:c r="F5" s="20" t="str"/>
      <x:c r="G5" s="18" t="str"/>
    </x:row>
    <x:row r="6">
      <x:c r="A6" s="18" t="str">
        <x:v>CO2 compliance limit</x:v>
      </x:c>
      <x:c r="B6" s="18" t="str">
        <x:v>C_ppm</x:v>
      </x:c>
      <x:c r="C6" s="20" t="n">
        <x:v>1000</x:v>
      </x:c>
      <x:c r="D6" s="18" t="str">
        <x:v>ppm</x:v>
      </x:c>
      <x:c r="E6" s="18" t="str">
        <x:v>Input</x:v>
      </x:c>
      <x:c r="F6" s="20" t="str"/>
      <x:c r="G6" s="18" t="str"/>
    </x:row>
    <x:row r="7">
      <x:c r="A7" s="18" t="str">
        <x:v>Outdoor CO2</x:v>
      </x:c>
      <x:c r="B7" s="18" t="str">
        <x:v>Cout_ppm</x:v>
      </x:c>
      <x:c r="C7" s="20" t="n">
        <x:v>300</x:v>
      </x:c>
      <x:c r="D7" s="18" t="str">
        <x:v>ppm</x:v>
      </x:c>
      <x:c r="E7" s="18" t="str">
        <x:v>Input</x:v>
      </x:c>
      <x:c r="F7" s="20" t="str"/>
      <x:c r="G7" s="18" t="str"/>
    </x:row>
    <x:row r="8">
      <x:c r="A8" s="18" t="str">
        <x:v>Room volume</x:v>
      </x:c>
      <x:c r="B8" s="18" t="str">
        <x:v>V</x:v>
      </x:c>
      <x:c r="C8" s="20" t="n">
        <x:v>100</x:v>
      </x:c>
      <x:c r="D8" s="18" t="str">
        <x:v>m^3</x:v>
      </x:c>
      <x:c r="E8" s="18" t="str">
        <x:v>Input</x:v>
      </x:c>
      <x:c r="F8" s="20" t="str"/>
      <x:c r="G8" s="18" t="str"/>
    </x:row>
    <x:row r="9">
      <x:c r="A9" s="18" t="str">
        <x:v>Nominal air density</x:v>
      </x:c>
      <x:c r="B9" s="18" t="str">
        <x:v>rho</x:v>
      </x:c>
      <x:c r="C9" s="20" t="n">
        <x:v>1.2</x:v>
      </x:c>
      <x:c r="D9" s="18" t="str">
        <x:v>kg/m^3</x:v>
      </x:c>
      <x:c r="E9" s="18" t="str">
        <x:v>Input</x:v>
      </x:c>
      <x:c r="F9" s="20" t="str"/>
      <x:c r="G9" s="18" t="str"/>
    </x:row>
    <x:row r="10">
      <x:c r="A10" s="18" t="str">
        <x:v>CO2 emission per person</x:v>
      </x:c>
      <x:c r="B10" s="18" t="str">
        <x:v>G_person</x:v>
      </x:c>
      <x:c r="C10" s="20" t="n">
        <x:v>0.00000818</x:v>
      </x:c>
      <x:c r="D10" s="18" t="str">
        <x:v>kg/s/person</x:v>
      </x:c>
      <x:c r="E10" s="18" t="str">
        <x:v>Input</x:v>
      </x:c>
      <x:c r="F10" s="20" t="str"/>
      <x:c r="G10" s="18" t="str"/>
    </x:row>
    <x:row r="11">
      <x:c r="A11" s="18" t="str">
        <x:v>peopleSource concentration</x:v>
      </x:c>
      <x:c r="B11" s="18" t="str">
        <x:v>C_source</x:v>
      </x:c>
      <x:c r="C11" s="20" t="n">
        <x:v>100</x:v>
      </x:c>
      <x:c r="D11" s="18" t="str">
        <x:v>kg/kg</x:v>
      </x:c>
      <x:c r="E11" s="18" t="str">
        <x:v>Modeling parameter</x:v>
      </x:c>
      <x:c r="F11" s="20" t="str"/>
      <x:c r="G11" s="18" t="str"/>
    </x:row>
    <x:row r="12">
      <x:c r="A12" s="18" t="str">
        <x:v>Minimum ACH command</x:v>
      </x:c>
      <x:c r="B12" s="18" t="str">
        <x:v>ACH_min</x:v>
      </x:c>
      <x:c r="C12" s="20" t="n">
        <x:v>0.2</x:v>
      </x:c>
      <x:c r="D12" s="18" t="str">
        <x:v>1/h</x:v>
      </x:c>
      <x:c r="E12" s="18" t="str">
        <x:v>Input</x:v>
      </x:c>
      <x:c r="F12" s="20" t="str"/>
      <x:c r="G12" s="18" t="str"/>
    </x:row>
    <x:row r="13">
      <x:c r="A13" s="18" t="str">
        <x:v>Maximum ACH command</x:v>
      </x:c>
      <x:c r="B13" s="18" t="str">
        <x:v>ACH_max</x:v>
      </x:c>
      <x:c r="C13" s="20" t="n">
        <x:v>6</x:v>
      </x:c>
      <x:c r="D13" s="18" t="str">
        <x:v>1/h</x:v>
      </x:c>
      <x:c r="E13" s="18" t="str">
        <x:v>Input</x:v>
      </x:c>
      <x:c r="F13" s="20" t="str"/>
      <x:c r="G13" s="18" t="str"/>
    </x:row>
    <x:row r="14">
      <x:c r="A14" s="18" t="str">
        <x:v>Controller bias</x:v>
      </x:c>
      <x:c r="B14" s="18" t="str">
        <x:v>ACH_bias</x:v>
      </x:c>
      <x:c r="C14" s="20" t="n">
        <x:v>3.5</x:v>
      </x:c>
      <x:c r="D14" s="18" t="str">
        <x:v>1/h</x:v>
      </x:c>
      <x:c r="E14" s="18" t="str">
        <x:v>CR-IAQ-007</x:v>
      </x:c>
      <x:c r="F14" s="20" t="str"/>
      <x:c r="G14" s="18" t="str"/>
    </x:row>
    <x:row r="15">
      <x:c r="A15" s="18" t="str">
        <x:v>Controller proportional gain</x:v>
      </x:c>
      <x:c r="B15" s="18" t="str">
        <x:v>Kp</x:v>
      </x:c>
      <x:c r="C15" s="20" t="n">
        <x:v>6</x:v>
      </x:c>
      <x:c r="D15" s="18" t="str">
        <x:v>ACH/normalized</x:v>
      </x:c>
      <x:c r="E15" s="18" t="str">
        <x:v>CR-IAQ-007</x:v>
      </x:c>
      <x:c r="F15" s="20" t="str"/>
      <x:c r="G15" s="18" t="str"/>
    </x:row>
    <x:row r="16">
      <x:c r="A16" s="18" t="str">
        <x:v>1000 ppm mass fraction</x:v>
      </x:c>
      <x:c r="B16" s="18" t="str">
        <x:v>C_nominal</x:v>
      </x:c>
      <x:c r="C16" s="20" t="str"/>
      <x:c r="D16" s="18" t="str"/>
      <x:c r="E16" s="18" t="str">
        <x:v>=C_ppm/1E6*MW_CO2/MW_air</x:v>
      </x:c>
      <x:c r="F16" s="20" t="n">
        <x:f>C6/1000000*C4/C5</x:f>
        <x:v>0.001519157749395927</x:v>
      </x:c>
      <x:c r="G16" s="18" t="str">
        <x:v>kg/kg</x:v>
      </x:c>
    </x:row>
    <x:row r="17">
      <x:c r="A17" s="18" t="str">
        <x:v>300 ppm mass fraction</x:v>
      </x:c>
      <x:c r="B17" s="18" t="str">
        <x:v>C_out</x:v>
      </x:c>
      <x:c r="C17" s="20" t="str"/>
      <x:c r="D17" s="18" t="str"/>
      <x:c r="E17" s="18" t="str">
        <x:v>=Cout_ppm/1E6*MW_CO2/MW_air</x:v>
      </x:c>
      <x:c r="F17" s="20" t="n">
        <x:f>C7/1000000*C4/C5</x:f>
        <x:v>0.000455747324818778</x:v>
      </x:c>
      <x:c r="G17" s="18" t="str">
        <x:v>kg/kg</x:v>
      </x:c>
    </x:row>
    <x:row r="18">
      <x:c r="A18" s="18" t="str">
        <x:v>Project nominal mass fraction</x:v>
      </x:c>
      <x:c r="B18" s="18" t="str">
        <x:v>C_nom_project</x:v>
      </x:c>
      <x:c r="C18" s="20" t="n">
        <x:v>0.001519</x:v>
      </x:c>
      <x:c r="D18" s="18" t="str">
        <x:v>kg/kg</x:v>
      </x:c>
      <x:c r="E18" s="18" t="str">
        <x:v>Approved rounded value</x:v>
      </x:c>
      <x:c r="F18" s="20" t="n">
        <x:f>C18</x:f>
        <x:v>0.001519</x:v>
      </x:c>
      <x:c r="G18" s="18" t="str"/>
    </x:row>
    <x:row r="19">
      <x:c r="A19" s="18" t="str">
        <x:v>Project outdoor mass fraction</x:v>
      </x:c>
      <x:c r="B19" s="18" t="str">
        <x:v>C_out_project</x:v>
      </x:c>
      <x:c r="C19" s="20" t="str"/>
      <x:c r="D19" s="18" t="str"/>
      <x:c r="E19" s="18" t="str">
        <x:v>=0.3*C_nom_project</x:v>
      </x:c>
      <x:c r="F19" s="20" t="n">
        <x:f>0.3*C18</x:f>
        <x:v>0.00045569999999999996</x:v>
      </x:c>
      <x:c r="G19" s="18" t="str">
        <x:v>kg/kg</x:v>
      </x:c>
    </x:row>
    <x:row r="20">
      <x:c r="A20" s="18" t="str">
        <x:v>Room air mass</x:v>
      </x:c>
      <x:c r="B20" s="18" t="str">
        <x:v>M_air</x:v>
      </x:c>
      <x:c r="C20" s="20" t="str"/>
      <x:c r="D20" s="18" t="str"/>
      <x:c r="E20" s="18" t="str">
        <x:v>=V*rho</x:v>
      </x:c>
      <x:c r="F20" s="20" t="n">
        <x:f>C8*C9</x:f>
        <x:v>120</x:v>
      </x:c>
      <x:c r="G20" s="18" t="str">
        <x:v>kg</x:v>
      </x:c>
    </x:row>
    <x:row r="21">
      <x:c r="A21" s="18" t="str">
        <x:v>Mass flow for 1 ACH</x:v>
      </x:c>
      <x:c r="B21" s="18" t="str">
        <x:v>m_1ACH</x:v>
      </x:c>
      <x:c r="C21" s="20" t="str"/>
      <x:c r="D21" s="18" t="str"/>
      <x:c r="E21" s="18" t="str">
        <x:v>=V*rho/3600</x:v>
      </x:c>
      <x:c r="F21" s="20" t="n">
        <x:f>C8*C9/3600</x:f>
        <x:v>0.03333333333333333</x:v>
      </x:c>
      <x:c r="G21" s="18" t="str">
        <x:v>kg/s</x:v>
      </x:c>
    </x:row>
    <x:row r="22">
      <x:c r="A22" s="18" t="str">
        <x:v>Airflow gain sign convention</x:v>
      </x:c>
      <x:c r="B22" s="18" t="str">
        <x:v>gain_air</x:v>
      </x:c>
      <x:c r="C22" s="20" t="str"/>
      <x:c r="D22" s="18" t="str"/>
      <x:c r="E22" s="18" t="str">
        <x:v>=-V*rho/3600</x:v>
      </x:c>
      <x:c r="F22" s="20" t="n">
        <x:f>-C8*C9/3600</x:f>
        <x:v>-0.03333333333333333</x:v>
      </x:c>
      <x:c r="G22" s="18" t="str">
        <x:v>kg/s per ACH</x:v>
      </x:c>
    </x:row>
    <x:row r="23">
      <x:c r="A23" s="18" t="str">
        <x:v>Carrier source flow per person</x:v>
      </x:c>
      <x:c r="B23" s="18" t="str">
        <x:v>m_people_carrier</x:v>
      </x:c>
      <x:c r="C23" s="20" t="str"/>
      <x:c r="D23" s="18" t="str"/>
      <x:c r="E23" s="18" t="str">
        <x:v>=G_person/C_source</x:v>
      </x:c>
      <x:c r="F23" s="20" t="n">
        <x:f>C10/C11</x:f>
        <x:v>8.179999999999999e-8</x:v>
      </x:c>
      <x:c r="G23" s="18" t="str">
        <x:v>kg/s/person</x:v>
      </x:c>
    </x:row>
    <x:row r="24">
      <x:c r="A24" s="18" t="str">
        <x:v>Trace CO2 injection per person</x:v>
      </x:c>
      <x:c r="B24" s="18" t="str">
        <x:v>G_check</x:v>
      </x:c>
      <x:c r="C24" s="20" t="str"/>
      <x:c r="D24" s="18" t="str"/>
      <x:c r="E24" s="18" t="str">
        <x:v>=m_people_carrier*C_source</x:v>
      </x:c>
      <x:c r="F24" s="20" t="n">
        <x:f>F23*C11</x:f>
        <x:v>0.00000818</x:v>
      </x:c>
      <x:c r="G24" s="18" t="str">
        <x:v>kg/s/person</x:v>
      </x:c>
    </x:row>
    <x:row r="25">
      <x:c r="A25" s="18" t="str">
        <x:v>Sensor normalization gain</x:v>
      </x:c>
      <x:c r="B25" s="18" t="str">
        <x:v>K_sensor</x:v>
      </x:c>
      <x:c r="C25" s="20" t="str"/>
      <x:c r="D25" s="18" t="str"/>
      <x:c r="E25" s="18" t="str">
        <x:v>=1/C_nom_project</x:v>
      </x:c>
      <x:c r="F25" s="20" t="n">
        <x:f>1/C18</x:f>
        <x:v>658.3278472679394</x:v>
      </x:c>
      <x:c r="G25" s="18" t="str">
        <x:v>1/(kg/kg)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cfe2537187a43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9" hidden="0" customWidth="1"/>
    <x:col min="4" max="4" width="16" hidden="0" customWidth="1"/>
    <x:col min="5" max="5" width="20" hidden="0" customWidth="1"/>
    <x:col min="6" max="6" width="22" hidden="0" customWidth="1"/>
    <x:col min="7" max="7" width="20" hidden="0" customWidth="1"/>
    <x:col min="8" max="8" width="14" hidden="0" customWidth="1"/>
    <x:col min="9" max="9" width="42" hidden="0" customWidth="1"/>
    <x:col min="10" max="10" width="18" hidden="0" customWidth="1"/>
  </x:cols>
  <x:sheetData>
    <x:row r="1">
      <x:c r="A1" s="4" t="str">
        <x:v>Architecture, Flow and Signal Interface Matrix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Interface ID</x:v>
      </x:c>
      <x:c r="B3" s="12" t="str">
        <x:v>From</x:v>
      </x:c>
      <x:c r="C3" s="12" t="str">
        <x:v>From Port / Signal</x:v>
      </x:c>
      <x:c r="D3" s="12" t="str">
        <x:v>To</x:v>
      </x:c>
      <x:c r="E3" s="12" t="str">
        <x:v>To Port / Signal</x:v>
      </x:c>
      <x:c r="F3" s="12" t="str">
        <x:v>Item / Quantity</x:v>
      </x:c>
      <x:c r="G3" s="12" t="str">
        <x:v>Direction</x:v>
      </x:c>
      <x:c r="H3" s="12" t="str">
        <x:v>Units</x:v>
      </x:c>
      <x:c r="I3" s="12" t="str">
        <x:v>Constraint / Semantics</x:v>
      </x:c>
      <x:c r="J3" s="12" t="str">
        <x:v>Source</x:v>
      </x:c>
    </x:row>
    <x:row r="4">
      <x:c r="A4" s="18" t="str">
        <x:v>IF-AIR-01</x:v>
      </x:c>
      <x:c r="B4" s="18" t="str">
        <x:v>SRC-OA-201</x:v>
      </x:c>
      <x:c r="C4" s="18" t="str">
        <x:v>airPort</x:v>
      </x:c>
      <x:c r="D4" s="18" t="str">
        <x:v>DUCT-IN-201</x:v>
      </x:c>
      <x:c r="E4" s="18" t="str">
        <x:v>port_a</x:v>
      </x:c>
      <x:c r="F4" s="18" t="str">
        <x:v>Moist air + CO2</x:v>
      </x:c>
      <x:c r="G4" s="18" t="str">
        <x:v>Supply -&gt; duct</x:v>
      </x:c>
      <x:c r="H4" s="18" t="str">
        <x:v>kg/s</x:v>
      </x:c>
      <x:c r="I4" s="18" t="str">
        <x:v>Source sign may be negative although physical direction is into room.</x:v>
      </x:c>
      <x:c r="J4" s="18" t="str">
        <x:v>Diagram/CDS</x:v>
      </x:c>
    </x:row>
    <x:row r="5">
      <x:c r="A5" s="18" t="str">
        <x:v>IF-AIR-02</x:v>
      </x:c>
      <x:c r="B5" s="18" t="str">
        <x:v>DUCT-IN-201</x:v>
      </x:c>
      <x:c r="C5" s="18" t="str">
        <x:v>port_b</x:v>
      </x:c>
      <x:c r="D5" s="18" t="str">
        <x:v>ZON-201</x:v>
      </x:c>
      <x:c r="E5" s="18" t="str">
        <x:v>supplyPort</x:v>
      </x:c>
      <x:c r="F5" s="18" t="str">
        <x:v>Moist air + CO2</x:v>
      </x:c>
      <x:c r="G5" s="18" t="str">
        <x:v>Duct -&gt; room</x:v>
      </x:c>
      <x:c r="H5" s="18" t="str">
        <x:v>kg/s</x:v>
      </x:c>
      <x:c r="I5" s="18" t="str">
        <x:v>Well-mixed room receives outdoor concentration from CAtm.</x:v>
      </x:c>
      <x:c r="J5" s="18" t="str">
        <x:v>Diagram/MDS</x:v>
      </x:c>
    </x:row>
    <x:row r="6">
      <x:c r="A6" s="18" t="str">
        <x:v>IF-AIR-03</x:v>
      </x:c>
      <x:c r="B6" s="18" t="str">
        <x:v>ZON-201</x:v>
      </x:c>
      <x:c r="C6" s="18" t="str">
        <x:v>exhaustPort</x:v>
      </x:c>
      <x:c r="D6" s="18" t="str">
        <x:v>DUCT-OUT-201</x:v>
      </x:c>
      <x:c r="E6" s="18" t="str">
        <x:v>port_a</x:v>
      </x:c>
      <x:c r="F6" s="18" t="str">
        <x:v>Room air + CO2</x:v>
      </x:c>
      <x:c r="G6" s="18" t="str">
        <x:v>Room -&gt; duct</x:v>
      </x:c>
      <x:c r="H6" s="18" t="str">
        <x:v>kg/s</x:v>
      </x:c>
      <x:c r="I6" s="18" t="str">
        <x:v>Mass balance with supply and trace source.</x:v>
      </x:c>
      <x:c r="J6" s="18" t="str">
        <x:v>Diagram/MDS</x:v>
      </x:c>
    </x:row>
    <x:row r="7">
      <x:c r="A7" s="18" t="str">
        <x:v>IF-AIR-04</x:v>
      </x:c>
      <x:c r="B7" s="18" t="str">
        <x:v>DUCT-OUT-201</x:v>
      </x:c>
      <x:c r="C7" s="18" t="str">
        <x:v>port_b</x:v>
      </x:c>
      <x:c r="D7" s="18" t="str">
        <x:v>BND-201</x:v>
      </x:c>
      <x:c r="E7" s="18" t="str">
        <x:v>airPort</x:v>
      </x:c>
      <x:c r="F7" s="18" t="str">
        <x:v>Room air + CO2</x:v>
      </x:c>
      <x:c r="G7" s="18" t="str">
        <x:v>Duct -&gt; boundary</x:v>
      </x:c>
      <x:c r="H7" s="18" t="str">
        <x:v>kg/s</x:v>
      </x:c>
      <x:c r="I7" s="18" t="str">
        <x:v>Ideal pressure boundary.</x:v>
      </x:c>
      <x:c r="J7" s="18" t="str">
        <x:v>Diagram/MDS</x:v>
      </x:c>
    </x:row>
    <x:row r="8">
      <x:c r="A8" s="18" t="str">
        <x:v>IF-TRC-01</x:v>
      </x:c>
      <x:c r="B8" s="18" t="str">
        <x:v>SRC-CO2-201</x:v>
      </x:c>
      <x:c r="C8" s="18" t="str">
        <x:v>tracePort</x:v>
      </x:c>
      <x:c r="D8" s="18" t="str">
        <x:v>ZON-201</x:v>
      </x:c>
      <x:c r="E8" s="18" t="str">
        <x:v>traceInjection</x:v>
      </x:c>
      <x:c r="F8" s="18" t="str">
        <x:v>CO2 trace substance</x:v>
      </x:c>
      <x:c r="G8" s="18" t="str">
        <x:v>Source -&gt; room</x:v>
      </x:c>
      <x:c r="H8" s="18" t="str">
        <x:v>kg/s CO2</x:v>
      </x:c>
      <x:c r="I8" s="18" t="str">
        <x:v>Actual CO2 addition = carrier m_flow * C_source.</x:v>
      </x:c>
      <x:c r="J8" s="18" t="str">
        <x:v>MOD-NT-03</x:v>
      </x:c>
    </x:row>
    <x:row r="9">
      <x:c r="A9" s="18" t="str">
        <x:v>IF-SIG-01</x:v>
      </x:c>
      <x:c r="B9" s="18" t="str">
        <x:v>SCH-OCC-201</x:v>
      </x:c>
      <x:c r="C9" s="18" t="str">
        <x:v>nPeo</x:v>
      </x:c>
      <x:c r="D9" s="18" t="str">
        <x:v>GAIN-PEO-201</x:v>
      </x:c>
      <x:c r="E9" s="18" t="str">
        <x:v>u</x:v>
      </x:c>
      <x:c r="F9" s="18" t="str">
        <x:v>People count</x:v>
      </x:c>
      <x:c r="G9" s="18" t="str">
        <x:v>Schedule -&gt; gain</x:v>
      </x:c>
      <x:c r="H9" s="18" t="str">
        <x:v>person</x:v>
      </x:c>
      <x:c r="I9" s="18" t="str">
        <x:v>Piecewise constant integer count.</x:v>
      </x:c>
      <x:c r="J9" s="18" t="str">
        <x:v>OCC-SCH-04</x:v>
      </x:c>
    </x:row>
    <x:row r="10">
      <x:c r="A10" s="18" t="str">
        <x:v>IF-SIG-02</x:v>
      </x:c>
      <x:c r="B10" s="18" t="str">
        <x:v>GAIN-PEO-201</x:v>
      </x:c>
      <x:c r="C10" s="18" t="str">
        <x:v>y</x:v>
      </x:c>
      <x:c r="D10" s="18" t="str">
        <x:v>SRC-CO2-201</x:v>
      </x:c>
      <x:c r="E10" s="18" t="str">
        <x:v>m_flow</x:v>
      </x:c>
      <x:c r="F10" s="18" t="str">
        <x:v>Carrier mass flow</x:v>
      </x:c>
      <x:c r="G10" s="18" t="str">
        <x:v>Gain -&gt; source</x:v>
      </x:c>
      <x:c r="H10" s="18" t="str">
        <x:v>kg/s</x:v>
      </x:c>
      <x:c r="I10" s="18" t="str">
        <x:v>Gain = 8.18E-6/100 per person.</x:v>
      </x:c>
      <x:c r="J10" s="18" t="str">
        <x:v>MOD-NT-03</x:v>
      </x:c>
    </x:row>
    <x:row r="11">
      <x:c r="A11" s="18" t="str">
        <x:v>IF-SIG-03</x:v>
      </x:c>
      <x:c r="B11" s="18" t="str">
        <x:v>SET-OA-201</x:v>
      </x:c>
      <x:c r="C11" s="18" t="str">
        <x:v>C_out</x:v>
      </x:c>
      <x:c r="D11" s="18" t="str">
        <x:v>SRC-OA-201</x:v>
      </x:c>
      <x:c r="E11" s="18" t="str">
        <x:v>C</x:v>
      </x:c>
      <x:c r="F11" s="18" t="str">
        <x:v>Outdoor CO2 mass fraction</x:v>
      </x:c>
      <x:c r="G11" s="18" t="str">
        <x:v>Constant -&gt; source</x:v>
      </x:c>
      <x:c r="H11" s="18" t="str">
        <x:v>kg/kg</x:v>
      </x:c>
      <x:c r="I11" s="18" t="str">
        <x:v>300 ppm = 0.3*C_nominal.</x:v>
      </x:c>
      <x:c r="J11" s="18" t="str">
        <x:v>URS/ICD</x:v>
      </x:c>
    </x:row>
    <x:row r="12">
      <x:c r="A12" s="18" t="str">
        <x:v>IF-SIG-04</x:v>
      </x:c>
      <x:c r="B12" s="18" t="str">
        <x:v>ZON-201</x:v>
      </x:c>
      <x:c r="C12" s="18" t="str">
        <x:v>C_room</x:v>
      </x:c>
      <x:c r="D12" s="18" t="str">
        <x:v>SEN-CO2-201</x:v>
      </x:c>
      <x:c r="E12" s="18" t="str">
        <x:v>medium</x:v>
      </x:c>
      <x:c r="F12" s="18" t="str">
        <x:v>Room trace concentration</x:v>
      </x:c>
      <x:c r="G12" s="18" t="str">
        <x:v>Room -&gt; sensor</x:v>
      </x:c>
      <x:c r="H12" s="18" t="str">
        <x:v>kg/kg</x:v>
      </x:c>
      <x:c r="I12" s="18" t="str">
        <x:v>Ideal sensor in baseline.</x:v>
      </x:c>
      <x:c r="J12" s="18" t="str">
        <x:v>Diagram</x:v>
      </x:c>
    </x:row>
    <x:row r="13">
      <x:c r="A13" s="18" t="str">
        <x:v>IF-SIG-05</x:v>
      </x:c>
      <x:c r="B13" s="18" t="str">
        <x:v>SEN-CO2-201</x:v>
      </x:c>
      <x:c r="C13" s="18" t="str">
        <x:v>C</x:v>
      </x:c>
      <x:c r="D13" s="18" t="str">
        <x:v>GAIN-NORM-201</x:v>
      </x:c>
      <x:c r="E13" s="18" t="str">
        <x:v>u</x:v>
      </x:c>
      <x:c r="F13" s="18" t="str">
        <x:v>Measured CO2</x:v>
      </x:c>
      <x:c r="G13" s="18" t="str">
        <x:v>Sensor -&gt; gain</x:v>
      </x:c>
      <x:c r="H13" s="18" t="str">
        <x:v>kg/kg</x:v>
      </x:c>
      <x:c r="I13" s="18" t="str">
        <x:v>Normalize by 1/1.519E-3.</x:v>
      </x:c>
      <x:c r="J13" s="18" t="str">
        <x:v>CDS</x:v>
      </x:c>
    </x:row>
    <x:row r="14">
      <x:c r="A14" s="18" t="str">
        <x:v>IF-SIG-06</x:v>
      </x:c>
      <x:c r="B14" s="18" t="str">
        <x:v>GAIN-NORM-201</x:v>
      </x:c>
      <x:c r="C14" s="18" t="str">
        <x:v>y</x:v>
      </x:c>
      <x:c r="D14" s="18" t="str">
        <x:v>CTL-CO2-201</x:v>
      </x:c>
      <x:c r="E14" s="18" t="str">
        <x:v>measurement</x:v>
      </x:c>
      <x:c r="F14" s="18" t="str">
        <x:v>Normalized CO2</x:v>
      </x:c>
      <x:c r="G14" s="18" t="str">
        <x:v>Gain -&gt; controller</x:v>
      </x:c>
      <x:c r="H14" s="18" t="str">
        <x:v>normalized</x:v>
      </x:c>
      <x:c r="I14" s="18" t="str">
        <x:v>1.0 corresponds to 1000 ppm.</x:v>
      </x:c>
      <x:c r="J14" s="18" t="str">
        <x:v>CDS</x:v>
      </x:c>
    </x:row>
    <x:row r="15">
      <x:c r="A15" s="18" t="str">
        <x:v>IF-SIG-07</x:v>
      </x:c>
      <x:c r="B15" s="18" t="str">
        <x:v>SET-CO2-201</x:v>
      </x:c>
      <x:c r="C15" s="18" t="str">
        <x:v>setpoint</x:v>
      </x:c>
      <x:c r="D15" s="18" t="str">
        <x:v>CTL-CO2-201</x:v>
      </x:c>
      <x:c r="E15" s="18" t="str">
        <x:v>setpoint</x:v>
      </x:c>
      <x:c r="F15" s="18" t="str">
        <x:v>Normalized setpoint</x:v>
      </x:c>
      <x:c r="G15" s="18" t="str">
        <x:v>Constant -&gt; controller</x:v>
      </x:c>
      <x:c r="H15" s="18" t="str">
        <x:v>normalized</x:v>
      </x:c>
      <x:c r="I15" s="18" t="str">
        <x:v>Value = 1.0.</x:v>
      </x:c>
      <x:c r="J15" s="18" t="str">
        <x:v>CDS</x:v>
      </x:c>
    </x:row>
    <x:row r="16">
      <x:c r="A16" s="18" t="str">
        <x:v>IF-SIG-08</x:v>
      </x:c>
      <x:c r="B16" s="18" t="str">
        <x:v>CTL-CO2-201</x:v>
      </x:c>
      <x:c r="C16" s="18" t="str">
        <x:v>ACH_cmd</x:v>
      </x:c>
      <x:c r="D16" s="18" t="str">
        <x:v>GAIN-AIR-201</x:v>
      </x:c>
      <x:c r="E16" s="18" t="str">
        <x:v>u</x:v>
      </x:c>
      <x:c r="F16" s="18" t="str">
        <x:v>Air-change command</x:v>
      </x:c>
      <x:c r="G16" s="18" t="str">
        <x:v>Controller -&gt; gain</x:v>
      </x:c>
      <x:c r="H16" s="18" t="str">
        <x:v>1/h</x:v>
      </x:c>
      <x:c r="I16" s="18" t="str">
        <x:v>Limited to 0.2..6 ACH.</x:v>
      </x:c>
      <x:c r="J16" s="18" t="str">
        <x:v>CDS/CR</x:v>
      </x:c>
    </x:row>
    <x:row r="17">
      <x:c r="A17" s="18" t="str">
        <x:v>IF-SIG-09</x:v>
      </x:c>
      <x:c r="B17" s="18" t="str">
        <x:v>GAIN-AIR-201</x:v>
      </x:c>
      <x:c r="C17" s="18" t="str">
        <x:v>m_flow_cmd</x:v>
      </x:c>
      <x:c r="D17" s="18" t="str">
        <x:v>SRC-OA-201</x:v>
      </x:c>
      <x:c r="E17" s="18" t="str">
        <x:v>m_flow</x:v>
      </x:c>
      <x:c r="F17" s="18" t="str">
        <x:v>Source mass-flow command</x:v>
      </x:c>
      <x:c r="G17" s="18" t="str">
        <x:v>Gain -&gt; fresh air</x:v>
      </x:c>
      <x:c r="H17" s="18" t="str">
        <x:v>kg/s</x:v>
      </x:c>
      <x:c r="I17" s="18" t="str">
        <x:v>m_flow_cmd = -ACH*100*1.2/3600.</x:v>
      </x:c>
      <x:c r="J17" s="18" t="str">
        <x:v>CDS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233f2d1f5bf47a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34" hidden="0" customWidth="1"/>
  </x:cols>
  <x:sheetData>
    <x:row r="1">
      <x:c r="A1" s="4" t="str">
        <x:v>Approved Weekday Occupancy Schedule - OCC-SCH-04</x:v>
      </x:c>
      <x:c r="B1" s="4"/>
      <x:c r="C1" s="4"/>
      <x:c r="D1" s="4"/>
      <x:c r="E1" s="4"/>
      <x:c r="F1" s="4"/>
    </x:row>
    <x:row r="3">
      <x:c r="A3" s="12" t="str">
        <x:v>Schedule Row</x:v>
      </x:c>
      <x:c r="B3" s="12" t="str">
        <x:v>Start Time</x:v>
      </x:c>
      <x:c r="C3" s="12" t="str">
        <x:v>End Time</x:v>
      </x:c>
      <x:c r="D3" s="12" t="str">
        <x:v>Occupants</x:v>
      </x:c>
      <x:c r="E3" s="12" t="str">
        <x:v>Source Status</x:v>
      </x:c>
      <x:c r="F3" s="12" t="str">
        <x:v>Operational Note</x:v>
      </x:c>
    </x:row>
    <x:row r="4">
      <x:c r="A4" s="18" t="n">
        <x:v>1</x:v>
      </x:c>
      <x:c r="B4" s="18" t="str">
        <x:v>00:00</x:v>
      </x:c>
      <x:c r="C4" s="18" t="str">
        <x:v>07:00</x:v>
      </x:c>
      <x:c r="D4" s="18" t="n">
        <x:v>0</x:v>
      </x:c>
      <x:c r="E4" s="18" t="str">
        <x:v>Approved</x:v>
      </x:c>
      <x:c r="F4" s="18" t="str">
        <x:v>Unoccupied</x:v>
      </x:c>
    </x:row>
    <x:row r="5">
      <x:c r="A5" s="18" t="n">
        <x:v>2</x:v>
      </x:c>
      <x:c r="B5" s="18" t="str">
        <x:v>07:00</x:v>
      </x:c>
      <x:c r="C5" s="18" t="str">
        <x:v>08:00</x:v>
      </x:c>
      <x:c r="D5" s="18" t="n">
        <x:v>2</x:v>
      </x:c>
      <x:c r="E5" s="18" t="str">
        <x:v>Approved</x:v>
      </x:c>
      <x:c r="F5" s="18" t="str">
        <x:v>Early arrivals / setup</x:v>
      </x:c>
    </x:row>
    <x:row r="6">
      <x:c r="A6" s="18" t="n">
        <x:v>3</x:v>
      </x:c>
      <x:c r="B6" s="18" t="str">
        <x:v>08:00</x:v>
      </x:c>
      <x:c r="C6" s="18" t="str">
        <x:v>10:00</x:v>
      </x:c>
      <x:c r="D6" s="18" t="n">
        <x:v>8</x:v>
      </x:c>
      <x:c r="E6" s="18" t="str">
        <x:v>Approved</x:v>
      </x:c>
      <x:c r="F6" s="18" t="str">
        <x:v>Morning occupancy</x:v>
      </x:c>
    </x:row>
    <x:row r="7">
      <x:c r="A7" s="18" t="n">
        <x:v>4</x:v>
      </x:c>
      <x:c r="B7" s="18" t="str">
        <x:v>10:00</x:v>
      </x:c>
      <x:c r="C7" s="18" t="str">
        <x:v>12:00</x:v>
      </x:c>
      <x:c r="D7" s="18" t="n">
        <x:v>12</x:v>
      </x:c>
      <x:c r="E7" s="18" t="str">
        <x:v>Approved</x:v>
      </x:c>
      <x:c r="F7" s="18" t="str">
        <x:v>High morning occupancy</x:v>
      </x:c>
    </x:row>
    <x:row r="8">
      <x:c r="A8" s="18" t="n">
        <x:v>5</x:v>
      </x:c>
      <x:c r="B8" s="18" t="str">
        <x:v>12:00</x:v>
      </x:c>
      <x:c r="C8" s="18" t="str">
        <x:v>13:00</x:v>
      </x:c>
      <x:c r="D8" s="18" t="n">
        <x:v>4</x:v>
      </x:c>
      <x:c r="E8" s="18" t="str">
        <x:v>Approved</x:v>
      </x:c>
      <x:c r="F8" s="18" t="str">
        <x:v>Lunch-period partial occupancy</x:v>
      </x:c>
    </x:row>
    <x:row r="9">
      <x:c r="A9" s="18" t="n">
        <x:v>6</x:v>
      </x:c>
      <x:c r="B9" s="18" t="str">
        <x:v>13:00</x:v>
      </x:c>
      <x:c r="C9" s="18" t="str">
        <x:v>15:00</x:v>
      </x:c>
      <x:c r="D9" s="18" t="n">
        <x:v>15</x:v>
      </x:c>
      <x:c r="E9" s="18" t="str">
        <x:v>Approved</x:v>
      </x:c>
      <x:c r="F9" s="18" t="str">
        <x:v>Design peak occupancy</x:v>
      </x:c>
    </x:row>
    <x:row r="10">
      <x:c r="A10" s="18" t="n">
        <x:v>7</x:v>
      </x:c>
      <x:c r="B10" s="18" t="str">
        <x:v>15:00</x:v>
      </x:c>
      <x:c r="C10" s="18" t="str">
        <x:v>17:00</x:v>
      </x:c>
      <x:c r="D10" s="18" t="n">
        <x:v>10</x:v>
      </x:c>
      <x:c r="E10" s="18" t="str">
        <x:v>Approved</x:v>
      </x:c>
      <x:c r="F10" s="18" t="str">
        <x:v>Afternoon occupancy</x:v>
      </x:c>
    </x:row>
    <x:row r="11">
      <x:c r="A11" s="18" t="n">
        <x:v>8</x:v>
      </x:c>
      <x:c r="B11" s="18" t="str">
        <x:v>17:00</x:v>
      </x:c>
      <x:c r="C11" s="18" t="str">
        <x:v>18:00</x:v>
      </x:c>
      <x:c r="D11" s="18" t="n">
        <x:v>3</x:v>
      </x:c>
      <x:c r="E11" s="18" t="str">
        <x:v>Approved</x:v>
      </x:c>
      <x:c r="F11" s="18" t="str">
        <x:v>Late occupants</x:v>
      </x:c>
    </x:row>
    <x:row r="12">
      <x:c r="A12" s="18" t="n">
        <x:v>9</x:v>
      </x:c>
      <x:c r="B12" s="18" t="str">
        <x:v>18:00</x:v>
      </x:c>
      <x:c r="C12" s="18" t="str">
        <x:v>24:00</x:v>
      </x:c>
      <x:c r="D12" s="18" t="n">
        <x:v>0</x:v>
      </x:c>
      <x:c r="E12" s="18" t="str">
        <x:v>Approved</x:v>
      </x:c>
      <x:c r="F12" s="18" t="str">
        <x:v>Unoccupied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d31783f8333478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32" hidden="0" customWidth="1"/>
    <x:col min="6" max="6" width="48" hidden="0" customWidth="1"/>
    <x:col min="7" max="7" width="20" hidden="0" customWidth="1"/>
    <x:col min="8" max="8" width="40" hidden="0" customWidth="1"/>
  </x:cols>
  <x:sheetData>
    <x:row r="1">
      <x:c r="A1" s="4" t="str">
        <x:v>Document and Engineering Change History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Date</x:v>
      </x:c>
      <x:c r="B3" s="12" t="str">
        <x:v>Record</x:v>
      </x:c>
      <x:c r="C3" s="12" t="str">
        <x:v>Revision</x:v>
      </x:c>
      <x:c r="D3" s="12" t="str">
        <x:v>Status</x:v>
      </x:c>
      <x:c r="E3" s="12" t="str">
        <x:v>Affected Item(s)</x:v>
      </x:c>
      <x:c r="F3" s="12" t="str">
        <x:v>Change Summary</x:v>
      </x:c>
      <x:c r="G3" s="12" t="str">
        <x:v>Approved By</x:v>
      </x:c>
      <x:c r="H3" s="12" t="str">
        <x:v>Precedence Note</x:v>
      </x:c>
    </x:row>
    <x:row r="4">
      <x:c r="A4" s="18" t="str">
        <x:v>2026-01-08</x:v>
      </x:c>
      <x:c r="B4" s="18" t="str">
        <x:v>URS-IAQ-001</x:v>
      </x:c>
      <x:c r="C4" s="18" t="str">
        <x:v>A</x:v>
      </x:c>
      <x:c r="D4" s="18" t="str">
        <x:v>Released</x:v>
      </x:c>
      <x:c r="E4" s="18" t="str">
        <x:v>CO2 limit, room volume, occupant emission</x:v>
      </x:c>
      <x:c r="F4" s="18" t="str">
        <x:v>Initial owner requirements issued.</x:v>
      </x:c>
      <x:c r="G4" s="18" t="str">
        <x:v>M. Ortega</x:v>
      </x:c>
      <x:c r="H4" s="18" t="str">
        <x:v>Baseline requirement source.</x:v>
      </x:c>
    </x:row>
    <x:row r="5">
      <x:c r="A5" s="18" t="str">
        <x:v>2026-01-22</x:v>
      </x:c>
      <x:c r="B5" s="18" t="str">
        <x:v>MDS-IAQ-01</x:v>
      </x:c>
      <x:c r="C5" s="18" t="str">
        <x:v>1.1</x:v>
      </x:c>
      <x:c r="D5" s="18" t="str">
        <x:v>Released</x:v>
      </x:c>
      <x:c r="E5" s="18" t="str">
        <x:v>Room and air-flow modeling data</x:v>
      </x:c>
      <x:c r="F5" s="18" t="str">
        <x:v>100 m3 volume and 1.2 kg/m3 nominal density frozen.</x:v>
      </x:c>
      <x:c r="G5" s="18" t="str">
        <x:v>L. Chen</x:v>
      </x:c>
      <x:c r="H5" s="18" t="str">
        <x:v>Technical basis.</x:v>
      </x:c>
    </x:row>
    <x:row r="6">
      <x:c r="A6" s="18" t="str">
        <x:v>2026-02-01</x:v>
      </x:c>
      <x:c r="B6" s="18" t="str">
        <x:v>CDS-IAQ-02</x:v>
      </x:c>
      <x:c r="C6" s="18" t="str">
        <x:v>A</x:v>
      </x:c>
      <x:c r="D6" s="18" t="str">
        <x:v>Released</x:v>
      </x:c>
      <x:c r="E6" s="18" t="str">
        <x:v>Controller tuning</x:v>
      </x:c>
      <x:c r="F6" s="18" t="str">
        <x:v>Initial Kp=4.0 and integral enabled.</x:v>
      </x:c>
      <x:c r="G6" s="18" t="str">
        <x:v>N. Shah</x:v>
      </x:c>
      <x:c r="H6" s="18" t="str">
        <x:v>Superseded in part by CR-IAQ-007.</x:v>
      </x:c>
    </x:row>
    <x:row r="7">
      <x:c r="A7" s="18" t="str">
        <x:v>2026-02-07</x:v>
      </x:c>
      <x:c r="B7" s="18" t="str">
        <x:v>ICD-IAQ-03</x:v>
      </x:c>
      <x:c r="C7" s="18" t="str">
        <x:v>B</x:v>
      </x:c>
      <x:c r="D7" s="18" t="str">
        <x:v>Released</x:v>
      </x:c>
      <x:c r="E7" s="18" t="str">
        <x:v>Signal units and normalization</x:v>
      </x:c>
      <x:c r="F7" s="18" t="str">
        <x:v>Trace-substance interfaces frozen in kg/kg.</x:v>
      </x:c>
      <x:c r="G7" s="18" t="str">
        <x:v>N. Shah</x:v>
      </x:c>
      <x:c r="H7" s="18" t="str">
        <x:v>Controls interface baseline.</x:v>
      </x:c>
    </x:row>
    <x:row r="8">
      <x:c r="A8" s="18" t="str">
        <x:v>2026-02-14</x:v>
      </x:c>
      <x:c r="B8" s="18" t="str">
        <x:v>DR-IAQ-05</x:v>
      </x:c>
      <x:c r="C8" s="18" t="str">
        <x:v>Final</x:v>
      </x:c>
      <x:c r="D8" s="18" t="str">
        <x:v>Approved</x:v>
      </x:c>
      <x:c r="E8" s="18" t="str">
        <x:v>CO2 compliance interpretation</x:v>
      </x:c>
      <x:c r="F8" s="18" t="str">
        <x:v>Confirmed 1000 ppm absolute, rejected '1000 ppm above outdoor' interpretation.</x:v>
      </x:c>
      <x:c r="G8" s="18" t="str">
        <x:v>Design Review Board</x:v>
      </x:c>
      <x:c r="H8" s="18" t="str">
        <x:v>Approved decision resolves email ambiguity.</x:v>
      </x:c>
    </x:row>
    <x:row r="9">
      <x:c r="A9" s="18" t="str">
        <x:v>2026-02-21</x:v>
      </x:c>
      <x:c r="B9" s="18" t="str">
        <x:v>OCC-SCH-04</x:v>
      </x:c>
      <x:c r="C9" s="18" t="str">
        <x:v>C</x:v>
      </x:c>
      <x:c r="D9" s="18" t="str">
        <x:v>Approved</x:v>
      </x:c>
      <x:c r="E9" s="18" t="str">
        <x:v>Occupancy schedule</x:v>
      </x:c>
      <x:c r="F9" s="18" t="str">
        <x:v>Peak occupancy increased from 12 to 15 people for 13:00-15:00.</x:v>
      </x:c>
      <x:c r="G9" s="18" t="str">
        <x:v>Facilities</x:v>
      </x:c>
      <x:c r="H9" s="18" t="str">
        <x:v>Latest operational schedule.</x:v>
      </x:c>
    </x:row>
    <x:row r="10">
      <x:c r="A10" s="18" t="str">
        <x:v>2026-02-28</x:v>
      </x:c>
      <x:c r="B10" s="18" t="str">
        <x:v>CR-IAQ-007</x:v>
      </x:c>
      <x:c r="C10" s="18" t="str">
        <x:v>1</x:v>
      </x:c>
      <x:c r="D10" s="18" t="str">
        <x:v>Approved</x:v>
      </x:c>
      <x:c r="E10" s="18" t="str">
        <x:v>Controller tuning</x:v>
      </x:c>
      <x:c r="F10" s="18" t="str">
        <x:v>Kp changed 4.0 -&gt; 6.0, bias set to 3.5 ACH, integral disabled for released reference run.</x:v>
      </x:c>
      <x:c r="G10" s="18" t="str">
        <x:v>M. Ortega</x:v>
      </x:c>
      <x:c r="H10" s="18" t="str">
        <x:v>Overrides CDS-IAQ-02 Rev A tuning.</x:v>
      </x:c>
    </x:row>
    <x:row r="11">
      <x:c r="A11" s="18" t="str">
        <x:v>2026-03-03</x:v>
      </x:c>
      <x:c r="B11" s="18" t="str">
        <x:v>CP-23</x:v>
      </x:c>
      <x:c r="C11" s="18" t="str">
        <x:v>C</x:v>
      </x:c>
      <x:c r="D11" s="18" t="str">
        <x:v>Released</x:v>
      </x:c>
      <x:c r="E11" s="18" t="str">
        <x:v>Verification</x:v>
      </x:c>
      <x:c r="F11" s="18" t="str">
        <x:v>24-hour trend test and &lt;=1000 ppm acceptance criteria issued.</x:v>
      </x:c>
      <x:c r="G11" s="18" t="str">
        <x:v>V&amp;V Lead</x:v>
      </x:c>
      <x:c r="H11" s="18" t="str">
        <x:v>Verification authority.</x:v>
      </x:c>
    </x:row>
    <x:row r="12">
      <x:c r="A12" s="18" t="str">
        <x:v>2026-03-05</x:v>
      </x:c>
      <x:c r="B12" s="18" t="str">
        <x:v>SIM-LEGACY</x:v>
      </x:c>
      <x:c r="C12" s="18" t="str">
        <x:v>0.9</x:v>
      </x:c>
      <x:c r="D12" s="18" t="str">
        <x:v>Archived</x:v>
      </x:c>
      <x:c r="E12" s="18" t="str">
        <x:v>Legacy Modelica model</x:v>
      </x:c>
      <x:c r="F12" s="18" t="str">
        <x:v>Archived model still uses 12-person peak and 350 ppm outdoor CO2.</x:v>
      </x:c>
      <x:c r="G12" s="18" t="str">
        <x:v>L. Chen</x:v>
      </x:c>
      <x:c r="H12" s="18" t="str">
        <x:v>Known stale source; useful for architecture only.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74aee9a01444a9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38" hidden="0" customWidth="1"/>
    <x:col min="5" max="5" width="40" hidden="0" customWidth="1"/>
    <x:col min="6" max="6" width="28" hidden="0" customWidth="1"/>
    <x:col min="7" max="7" width="14" hidden="0" customWidth="1"/>
    <x:col min="8" max="8" width="28" hidden="0" customWidth="1"/>
  </x:cols>
  <x:sheetData>
    <x:row r="1">
      <x:c r="A1" s="4" t="str">
        <x:v>Verification and Validation Matrix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Test ID</x:v>
      </x:c>
      <x:c r="B3" s="12" t="str">
        <x:v>Requirement(s)</x:v>
      </x:c>
      <x:c r="C3" s="12" t="str">
        <x:v>Stimulus / Setup</x:v>
      </x:c>
      <x:c r="D3" s="12" t="str">
        <x:v>Observed / Expected</x:v>
      </x:c>
      <x:c r="E3" s="12" t="str">
        <x:v>Acceptance Criterion</x:v>
      </x:c>
      <x:c r="F3" s="12" t="str">
        <x:v>Evidence Artifact</x:v>
      </x:c>
      <x:c r="G3" s="12" t="str">
        <x:v>Status</x:v>
      </x:c>
      <x:c r="H3" s="12" t="str">
        <x:v>Notes</x:v>
      </x:c>
    </x:row>
    <x:row r="4">
      <x:c r="A4" s="18" t="str">
        <x:v>CP23-T01</x:v>
      </x:c>
      <x:c r="B4" s="18" t="str">
        <x:v>IAQ-FUN-003; IAQ-VER-002</x:v>
      </x:c>
      <x:c r="C4" s="18" t="str">
        <x:v>Run approved 24 h occupancy schedule with effective controller parameters.</x:v>
      </x:c>
      <x:c r="D4" s="18" t="str">
        <x:v>Room CO2 trend</x:v>
      </x:c>
      <x:c r="E4" s="18" t="str">
        <x:v>Max CO2 &lt;= 1000 ppm</x:v>
      </x:c>
      <x:c r="F4" s="18" t="str">
        <x:v>11_reference_run_24h.csv</x:v>
      </x:c>
      <x:c r="G4" s="18" t="str">
        <x:v>Planned</x:v>
      </x:c>
      <x:c r="H4" s="18" t="str">
        <x:v>Baseline test.</x:v>
      </x:c>
    </x:row>
    <x:row r="5">
      <x:c r="A5" s="18" t="str">
        <x:v>CP23-T02</x:v>
      </x:c>
      <x:c r="B5" s="18" t="str">
        <x:v>IAQ-FUN-004; IAQ-PER-006</x:v>
      </x:c>
      <x:c r="C5" s="18" t="str">
        <x:v>Inspect CAtm and outdoor concentration field.</x:v>
      </x:c>
      <x:c r="D5" s="18" t="str">
        <x:v>300 ppm; 4.557E-4 kg/kg</x:v>
      </x:c>
      <x:c r="E5" s="18" t="str">
        <x:v>Both representations consistent within rounding</x:v>
      </x:c>
      <x:c r="F5" s="18" t="str">
        <x:v>Workbook/model</x:v>
      </x:c>
      <x:c r="G5" s="18" t="str">
        <x:v>Planned</x:v>
      </x:c>
      <x:c r="H5" s="18" t="str">
        <x:v>Unit conversion check.</x:v>
      </x:c>
    </x:row>
    <x:row r="6">
      <x:c r="A6" s="18" t="str">
        <x:v>CP23-T03</x:v>
      </x:c>
      <x:c r="B6" s="18" t="str">
        <x:v>IAQ-PER-003; IAQ-PER-004</x:v>
      </x:c>
      <x:c r="C6" s="18" t="str">
        <x:v>Set nPeo=1 and inspect peopleSource carrier flow and trace injection.</x:v>
      </x:c>
      <x:c r="D6" s="18" t="str">
        <x:v>8.18E-8 kg/s carrier; 8.18E-6 kg/s CO2</x:v>
      </x:c>
      <x:c r="E6" s="18" t="str">
        <x:v>Product m_flow*C_source = 8.18E-6 kg/s</x:v>
      </x:c>
      <x:c r="F6" s="18" t="str">
        <x:v>Model analysis</x:v>
      </x:c>
      <x:c r="G6" s="18" t="str">
        <x:v>Planned</x:v>
      </x:c>
      <x:c r="H6" s="18" t="str">
        <x:v>Separates numerical carrier flow from physical CO2 emission.</x:v>
      </x:c>
    </x:row>
    <x:row r="7">
      <x:c r="A7" s="18" t="str">
        <x:v>CP23-T04</x:v>
      </x:c>
      <x:c r="B7" s="18" t="str">
        <x:v>IAQ-CTL-001; IAQ-CTL-002</x:v>
      </x:c>
      <x:c r="C7" s="18" t="str">
        <x:v>Apply C_room=1.519E-3 kg/kg.</x:v>
      </x:c>
      <x:c r="D7" s="18" t="str">
        <x:v>Normalized feedback=1.0</x:v>
      </x:c>
      <x:c r="E7" s="18" t="str">
        <x:v>Error within 1E-6 normalized</x:v>
      </x:c>
      <x:c r="F7" s="18" t="str">
        <x:v>Model test</x:v>
      </x:c>
      <x:c r="G7" s="18" t="str">
        <x:v>Planned</x:v>
      </x:c>
      <x:c r="H7" s="18" t="str">
        <x:v>Controller signal scaling.</x:v>
      </x:c>
    </x:row>
    <x:row r="8">
      <x:c r="A8" s="18" t="str">
        <x:v>CP23-T05</x:v>
      </x:c>
      <x:c r="B8" s="18" t="str">
        <x:v>IAQ-CTL-004; IAQ-CTL-005</x:v>
      </x:c>
      <x:c r="C8" s="18" t="str">
        <x:v>Sweep controller output and conversion gain.</x:v>
      </x:c>
      <x:c r="D8" s="18" t="str">
        <x:v>0.2..6 ACH -&gt; 0.006667..0.2 kg/s physical magnitude</x:v>
      </x:c>
      <x:c r="E8" s="18" t="str">
        <x:v>Limits and conversion correct</x:v>
      </x:c>
      <x:c r="F8" s="18" t="str">
        <x:v>Model test</x:v>
      </x:c>
      <x:c r="G8" s="18" t="str">
        <x:v>Planned</x:v>
      </x:c>
      <x:c r="H8" s="18" t="str">
        <x:v>Ignore source sign when reporting physical magnitude.</x:v>
      </x:c>
    </x:row>
    <x:row r="9">
      <x:c r="A9" s="18" t="str">
        <x:v>CP23-T06</x:v>
      </x:c>
      <x:c r="B9" s="18" t="str">
        <x:v>IAQ-SCH-001; IAQ-SCH-002</x:v>
      </x:c>
      <x:c r="C9" s="18" t="str">
        <x:v>Read occupancy schedule across all change times.</x:v>
      </x:c>
      <x:c r="D9" s="18" t="str">
        <x:v>0..15 people piecewise constant</x:v>
      </x:c>
      <x:c r="E9" s="18" t="str">
        <x:v>Exact values at interval interiors and correct transitions</x:v>
      </x:c>
      <x:c r="F9" s="18" t="str">
        <x:v>10_occupancy_schedule.csv</x:v>
      </x:c>
      <x:c r="G9" s="18" t="str">
        <x:v>Planned</x:v>
      </x:c>
      <x:c r="H9" s="18" t="str">
        <x:v>Schedule semantics.</x:v>
      </x:c>
    </x:row>
    <x:row r="10">
      <x:c r="A10" s="18" t="str">
        <x:v>CP23-T07</x:v>
      </x:c>
      <x:c r="B10" s="18" t="str">
        <x:v>IAQ-SAF-001</x:v>
      </x:c>
      <x:c r="C10" s="18" t="str">
        <x:v>Force sensor invalid for &gt;60 s.</x:v>
      </x:c>
      <x:c r="D10" s="18" t="str">
        <x:v>4.0 ACH fallback + fault flag</x:v>
      </x:c>
      <x:c r="E10" s="18" t="str">
        <x:v>Fallback active by t_fault+60 s</x:v>
      </x:c>
      <x:c r="F10" s="18" t="str">
        <x:v>Fault-injection procedure</x:v>
      </x:c>
      <x:c r="G10" s="18" t="str">
        <x:v>Deferred</x:v>
      </x:c>
      <x:c r="H10" s="18" t="str">
        <x:v>Not exercised in baseline trend.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9947ee58d1e45a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2" hidden="0" customWidth="1"/>
    <x:col min="4" max="4" width="22" hidden="0" customWidth="1"/>
    <x:col min="5" max="5" width="15" hidden="0" customWidth="1"/>
    <x:col min="6" max="6" width="45" hidden="0" customWidth="1"/>
    <x:col min="7" max="7" width="45" hidden="0" customWidth="1"/>
  </x:cols>
  <x:sheetData>
    <x:row r="1">
      <x:c r="A1" s="4" t="str">
        <x:v>Synthetic Source Index - Room CO2 Control Hackathon Packet</x:v>
      </x:c>
      <x:c r="B1" s="4"/>
      <x:c r="C1" s="4"/>
      <x:c r="D1" s="4"/>
      <x:c r="E1" s="4"/>
      <x:c r="F1" s="4"/>
      <x:c r="G1" s="4"/>
    </x:row>
    <x:row r="3">
      <x:c r="A3" s="12" t="str">
        <x:v>Source ID</x:v>
      </x:c>
      <x:c r="B3" s="12" t="str">
        <x:v>Filename / Artifact</x:v>
      </x:c>
      <x:c r="C3" s="12" t="str">
        <x:v>Type</x:v>
      </x:c>
      <x:c r="D3" s="12" t="str">
        <x:v>Revision / Date</x:v>
      </x:c>
      <x:c r="E3" s="12" t="str">
        <x:v>Reliability</x:v>
      </x:c>
      <x:c r="F3" s="12" t="str">
        <x:v>Contains</x:v>
      </x:c>
      <x:c r="G3" s="12" t="str">
        <x:v>Known Caveat</x:v>
      </x:c>
    </x:row>
    <x:row r="4">
      <x:c r="A4" s="18" t="str">
        <x:v>SRC-01</x:v>
      </x:c>
      <x:c r="B4" s="18" t="str">
        <x:v>01_owner_iaq_requirements.pdf</x:v>
      </x:c>
      <x:c r="C4" s="18" t="str">
        <x:v>PDF specification</x:v>
      </x:c>
      <x:c r="D4" s="18" t="str">
        <x:v>Rev A / 2026-01-08</x:v>
      </x:c>
      <x:c r="E4" s="18" t="str">
        <x:v>High</x:v>
      </x:c>
      <x:c r="F4" s="18" t="str">
        <x:v>Owner requirements, 1000 ppm limit, 300 ppm outdoor, 100 m3 room</x:v>
      </x:c>
      <x:c r="G4" s="18" t="str">
        <x:v>Does not include later controller tuning.</x:v>
      </x:c>
    </x:row>
    <x:row r="5">
      <x:c r="A5" s="18" t="str">
        <x:v>SRC-02</x:v>
      </x:c>
      <x:c r="B5" s="18" t="str">
        <x:v>02_iaq_engineering_register.xlsx</x:v>
      </x:c>
      <x:c r="C5" s="18" t="str">
        <x:v>Excel workbook</x:v>
      </x:c>
      <x:c r="D5" s="18" t="str">
        <x:v>Compiled / 2026-03-06</x:v>
      </x:c>
      <x:c r="E5" s="18" t="str">
        <x:v>High</x:v>
      </x:c>
      <x:c r="F5" s="18" t="str">
        <x:v>Requirements, components, calculations, interfaces, schedule, changes, V&amp;V</x:v>
      </x:c>
      <x:c r="G5" s="18" t="str">
        <x:v>Includes both active and superseded values.</x:v>
      </x:c>
    </x:row>
    <x:row r="6">
      <x:c r="A6" s="18" t="str">
        <x:v>SRC-03</x:v>
      </x:c>
      <x:c r="B6" s="18" t="str">
        <x:v>03_reference_control_diagram.png</x:v>
      </x:c>
      <x:c r="C6" s="18" t="str">
        <x:v>Engineering diagram</x:v>
      </x:c>
      <x:c r="D6" s="18" t="str">
        <x:v>Reference</x:v>
      </x:c>
      <x:c r="E6" s="18" t="str">
        <x:v>Medium</x:v>
      </x:c>
      <x:c r="F6" s="18" t="str">
        <x:v>Legacy model topology and block aliases</x:v>
      </x:c>
      <x:c r="G6" s="18" t="str">
        <x:v>Text is implementation-oriented and omits revision status.</x:v>
      </x:c>
    </x:row>
    <x:row r="7">
      <x:c r="A7" s="18" t="str">
        <x:v>SRC-04</x:v>
      </x:c>
      <x:c r="B7" s="18" t="str">
        <x:v>04_control_sequence_and_modeling_notes.docx</x:v>
      </x:c>
      <x:c r="C7" s="18" t="str">
        <x:v>Word document</x:v>
      </x:c>
      <x:c r="D7" s="18" t="str">
        <x:v>Rev B / 2026-03-01</x:v>
      </x:c>
      <x:c r="E7" s="18" t="str">
        <x:v>High</x:v>
      </x:c>
      <x:c r="F7" s="18" t="str">
        <x:v>Feedback semantics, sign convention, source scaling, conflict notes</x:v>
      </x:c>
      <x:c r="G7" s="18" t="str">
        <x:v>Uses both ppm and kg/kg.</x:v>
      </x:c>
    </x:row>
    <x:row r="8">
      <x:c r="A8" s="18" t="str">
        <x:v>SRC-05</x:v>
      </x:c>
      <x:c r="B8" s="18" t="str">
        <x:v>05_bms_controls_email_thread.eml</x:v>
      </x:c>
      <x:c r="C8" s="18" t="str">
        <x:v>Email thread</x:v>
      </x:c>
      <x:c r="D8" s="18" t="str">
        <x:v>2026-02-10..2026-03-01</x:v>
      </x:c>
      <x:c r="E8" s="18" t="str">
        <x:v>Medium</x:v>
      </x:c>
      <x:c r="F8" s="18" t="str">
        <x:v>Ambiguous 1000 ppm wording, tuning discussion, approvals</x:v>
      </x:c>
      <x:c r="G8" s="18" t="str">
        <x:v>Contains quoted stale values.</x:v>
      </x:c>
    </x:row>
    <x:row r="9">
      <x:c r="A9" s="18" t="str">
        <x:v>SRC-06</x:v>
      </x:c>
      <x:c r="B9" s="18" t="str">
        <x:v>06_iaq_design_review_minutes.md</x:v>
      </x:c>
      <x:c r="C9" s="18" t="str">
        <x:v>Meeting notes</x:v>
      </x:c>
      <x:c r="D9" s="18" t="str">
        <x:v>2026-02-14</x:v>
      </x:c>
      <x:c r="E9" s="18" t="str">
        <x:v>High</x:v>
      </x:c>
      <x:c r="F9" s="18" t="str">
        <x:v>Approved interpretation and modeling decisions</x:v>
      </x:c>
      <x:c r="G9" s="18" t="str">
        <x:v>Action wording is terse.</x:v>
      </x:c>
    </x:row>
    <x:row r="10">
      <x:c r="A10" s="18" t="str">
        <x:v>SRC-07</x:v>
      </x:c>
      <x:c r="B10" s="18" t="str">
        <x:v>07_legacy_co2_control.mo</x:v>
      </x:c>
      <x:c r="C10" s="18" t="str">
        <x:v>Existing simulation model</x:v>
      </x:c>
      <x:c r="D10" s="18" t="str">
        <x:v>Archived 0.9 / 2026-03-05</x:v>
      </x:c>
      <x:c r="E10" s="18" t="str">
        <x:v>Medium</x:v>
      </x:c>
      <x:c r="F10" s="18" t="str">
        <x:v>Architecture, trace-substance source technique, legacy parameters</x:v>
      </x:c>
      <x:c r="G10" s="18" t="str">
        <x:v>Stale 350 ppm outdoor and 12-person peak.</x:v>
      </x:c>
    </x:row>
    <x:row r="11">
      <x:c r="A11" s="18" t="str">
        <x:v>SRC-08</x:v>
      </x:c>
      <x:c r="B11" s="18" t="str">
        <x:v>08_co2_sensor_datasheet.pdf</x:v>
      </x:c>
      <x:c r="C11" s="18" t="str">
        <x:v>PDF datasheet</x:v>
      </x:c>
      <x:c r="D11" s="18" t="str">
        <x:v>Supplier Rev D</x:v>
      </x:c>
      <x:c r="E11" s="18" t="str">
        <x:v>High</x:v>
      </x:c>
      <x:c r="F11" s="18" t="str">
        <x:v>Sensor range, accuracy, response, output</x:v>
      </x:c>
      <x:c r="G11" s="18" t="str">
        <x:v>Supplier device reports ppm; simulation baseline uses ideal sensor.</x:v>
      </x:c>
    </x:row>
    <x:row r="12">
      <x:c r="A12" s="18" t="str">
        <x:v>SRC-09</x:v>
      </x:c>
      <x:c r="B12" s="18" t="str">
        <x:v>09_commissioning_test_procedure_CP23.pdf</x:v>
      </x:c>
      <x:c r="C12" s="18" t="str">
        <x:v>PDF test procedure</x:v>
      </x:c>
      <x:c r="D12" s="18" t="str">
        <x:v>Rev C / 2026-03-03</x:v>
      </x:c>
      <x:c r="E12" s="18" t="str">
        <x:v>High</x:v>
      </x:c>
      <x:c r="F12" s="18" t="str">
        <x:v>24 h test procedure and acceptance criteria</x:v>
      </x:c>
      <x:c r="G12" s="18" t="str">
        <x:v>Not a full design specification.</x:v>
      </x:c>
    </x:row>
    <x:row r="13">
      <x:c r="A13" s="18" t="str">
        <x:v>SRC-10</x:v>
      </x:c>
      <x:c r="B13" s="18" t="str">
        <x:v>10_occupancy_schedule.csv</x:v>
      </x:c>
      <x:c r="C13" s="18" t="str">
        <x:v>CSV schedule</x:v>
      </x:c>
      <x:c r="D13" s="18" t="str">
        <x:v>Rev C / 2026-02-21</x:v>
      </x:c>
      <x:c r="E13" s="18" t="str">
        <x:v>High</x:v>
      </x:c>
      <x:c r="F13" s="18" t="str">
        <x:v>Approved people-count schedule</x:v>
      </x:c>
      <x:c r="G13" s="18" t="str">
        <x:v>Piecewise-constant interpretation required.</x:v>
      </x:c>
    </x:row>
    <x:row r="14">
      <x:c r="A14" s="18" t="str">
        <x:v>SRC-11</x:v>
      </x:c>
      <x:c r="B14" s="18" t="str">
        <x:v>11_reference_run_24h.csv</x:v>
      </x:c>
      <x:c r="C14" s="18" t="str">
        <x:v>CSV trend data</x:v>
      </x:c>
      <x:c r="D14" s="18" t="str">
        <x:v>Synthetic / 2026-03-04</x:v>
      </x:c>
      <x:c r="E14" s="18" t="str">
        <x:v>Medium</x:v>
      </x:c>
      <x:c r="F14" s="18" t="str">
        <x:v>CO2, people count, normalized feedback, ACH and mass flow</x:v>
      </x:c>
      <x:c r="G14" s="18" t="str">
        <x:v>60 s reporting interval; controller solved at smaller internal step.</x:v>
      </x:c>
    </x:row>
    <x:row r="15">
      <x:c r="A15" s="18" t="str">
        <x:v>SRC-12</x:v>
      </x:c>
      <x:c r="B15" s="18" t="str">
        <x:v>12_bim_room_export.json</x:v>
      </x:c>
      <x:c r="C15" s="18" t="str">
        <x:v>CAD/BIM-derived JSON</x:v>
      </x:c>
      <x:c r="D15" s="18" t="str">
        <x:v>Model export / 2026-01-20</x:v>
      </x:c>
      <x:c r="E15" s="18" t="str">
        <x:v>Medium</x:v>
      </x:c>
      <x:c r="F15" s="18" t="str">
        <x:v>Room geometry, volume, zone ID and duct connection points</x:v>
      </x:c>
      <x:c r="G15" s="18" t="str">
        <x:v>No controls information.</x:v>
      </x:c>
    </x:row>
    <x:row r="16">
      <x:c r="A16" s="18" t="str">
        <x:v>SRC-13</x:v>
      </x:c>
      <x:c r="B16" s="18" t="str">
        <x:v>13_partial_existing_architecture.puml</x:v>
      </x:c>
      <x:c r="C16" s="18" t="str">
        <x:v>Existing system model</x:v>
      </x:c>
      <x:c r="D16" s="18" t="str">
        <x:v>Draft / 2026-01-18</x:v>
      </x:c>
      <x:c r="E16" s="18" t="str">
        <x:v>Low</x:v>
      </x:c>
      <x:c r="F16" s="18" t="str">
        <x:v>Pre-existing architecture</x:v>
      </x:c>
      <x:c r="G16" s="18" t="str">
        <x:v>Sensor units and occupancy source are incomplete.</x:v>
      </x:c>
    </x:row>
    <x:row r="17">
      <x:c r="A17" s="18" t="str">
        <x:v>SRC-14</x:v>
      </x:c>
      <x:c r="B17" s="18" t="str">
        <x:v>14_engineer_field_notes.txt</x:v>
      </x:c>
      <x:c r="C17" s="18" t="str">
        <x:v>Engineer notes</x:v>
      </x:c>
      <x:c r="D17" s="18" t="str">
        <x:v>2026-03-04</x:v>
      </x:c>
      <x:c r="E17" s="18" t="str">
        <x:v>Low</x:v>
      </x:c>
      <x:c r="F17" s="18" t="str">
        <x:v>Trend observations and terminology</x:v>
      </x:c>
      <x:c r="G17" s="18" t="str">
        <x:v>Informal shorthand; not authority.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d2df08cfed24525"/>
  </x:tableParts>
</x:worksheet>
</file>