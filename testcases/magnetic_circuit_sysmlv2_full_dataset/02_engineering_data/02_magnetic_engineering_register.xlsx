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33f21215f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e4fe5809c94974"/>
    <x:sheet xmlns:r="http://schemas.openxmlformats.org/officeDocument/2006/relationships" name="Requirements" sheetId="2" r:id="R2551bfe14b3749d0"/>
    <x:sheet xmlns:r="http://schemas.openxmlformats.org/officeDocument/2006/relationships" name="Parameters" sheetId="3" r:id="Raf9c1750206c44a4"/>
    <x:sheet xmlns:r="http://schemas.openxmlformats.org/officeDocument/2006/relationships" name="Magnetic_Elements" sheetId="4" r:id="R15773b45c812423c"/>
    <x:sheet xmlns:r="http://schemas.openxmlformats.org/officeDocument/2006/relationships" name="Interfaces" sheetId="5" r:id="Rc363bf35d0f14017"/>
    <x:sheet xmlns:r="http://schemas.openxmlformats.org/officeDocument/2006/relationships" name="Change_Log" sheetId="6" r:id="R3d98d9786fba4298"/>
    <x:sheet xmlns:r="http://schemas.openxmlformats.org/officeDocument/2006/relationships" name="Source_Index" sheetId="7" r:id="R151c6d17a09e417c"/>
    <x:sheet xmlns:r="http://schemas.openxmlformats.org/officeDocument/2006/relationships" name="Analytic_Calculation" sheetId="8" r:id="R613475f8e38d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E+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22928602c4292" /><Relationship Type="http://schemas.openxmlformats.org/officeDocument/2006/relationships/theme" Target="/xl/theme/theme1.xml" Id="R3755e50ff8b44b23" /><Relationship Type="http://schemas.openxmlformats.org/officeDocument/2006/relationships/sharedStrings" Target="/xl/sharedStrings.xml" Id="Rb84dcea1f6f142b9" /><Relationship Type="http://schemas.openxmlformats.org/officeDocument/2006/relationships/worksheet" Target="/xl/worksheets/sheet1.xml" Id="Rf7e4fe5809c94974" /><Relationship Type="http://schemas.openxmlformats.org/officeDocument/2006/relationships/worksheet" Target="/xl/worksheets/sheet2.xml" Id="R2551bfe14b3749d0" /><Relationship Type="http://schemas.openxmlformats.org/officeDocument/2006/relationships/worksheet" Target="/xl/worksheets/sheet3.xml" Id="Raf9c1750206c44a4" /><Relationship Type="http://schemas.openxmlformats.org/officeDocument/2006/relationships/worksheet" Target="/xl/worksheets/sheet4.xml" Id="R15773b45c812423c" /><Relationship Type="http://schemas.openxmlformats.org/officeDocument/2006/relationships/worksheet" Target="/xl/worksheets/sheet5.xml" Id="Rc363bf35d0f14017" /><Relationship Type="http://schemas.openxmlformats.org/officeDocument/2006/relationships/worksheet" Target="/xl/worksheets/sheet6.xml" Id="R3d98d9786fba4298" /><Relationship Type="http://schemas.openxmlformats.org/officeDocument/2006/relationships/worksheet" Target="/xl/worksheets/sheet7.xml" Id="R151c6d17a09e417c" /><Relationship Type="http://schemas.openxmlformats.org/officeDocument/2006/relationships/worksheet" Target="/xl/worksheets/sheet8.xml" Id="R613475f8e38d4bec" /></Relationships>
</file>

<file path=xl/tables/table1.xml><?xml version="1.0" encoding="utf-8"?>
<x:table xmlns:x="http://schemas.openxmlformats.org/spreadsheetml/2006/main" id="1" name="RequirementsTable" displayName="RequirementsTable" ref="A3:H38" headerRowCount="1" totalsRowCount="0" totalsRowShown="0">
  <x:tableColumns count="8">
    <x:tableColumn id="1" name="Req ID"/>
    <x:tableColumn id="2" name="Authority"/>
    <x:tableColumn id="3" name="Requirement"/>
    <x:tableColumn id="4" name="Category"/>
    <x:tableColumn id="5" name="Priority"/>
    <x:tableColumn id="6" name="Status"/>
    <x:tableColumn id="7" name="Superseded By"/>
    <x:tableColumn id="8" name="Ver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meterTable" displayName="ParameterTable" ref="A3:G19" headerRowCount="1" totalsRowCount="0" totalsRowShown="0">
  <x:tableColumns count="7">
    <x:tableColumn id="1" name="Parameter ID"/>
    <x:tableColumn id="2" name="Scope"/>
    <x:tableColumn id="3" name="Description"/>
    <x:tableColumn id="4" name="Value"/>
    <x:tableColumn id="5" name="Units"/>
    <x:tableColumn id="6" name="Source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gneticElementsTable" displayName="MagneticElementsTable" ref="A3:H9" headerRowCount="1" totalsRowCount="0" totalsRowShown="0">
  <x:tableColumns count="8">
    <x:tableColumn id="1" name="Element ID"/>
    <x:tableColumn id="2" name="Name"/>
    <x:tableColumn id="3" name="Model Class"/>
    <x:tableColumn id="4" name="Material/Role"/>
    <x:tableColumn id="5" name="Area (m^2)"/>
    <x:tableColumn id="6" name="Length (m)"/>
    <x:tableColumn id="7" name="mu_r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facesTable" displayName="InterfacesTable" ref="A3:G15" headerRowCount="1" totalsRowCount="0" totalsRowShown="0">
  <x:tableColumns count="7">
    <x:tableColumn id="1" name="Interface ID"/>
    <x:tableColumn id="2" name="From"/>
    <x:tableColumn id="3" name="From Port/Quantity"/>
    <x:tableColumn id="4" name="To"/>
    <x:tableColumn id="5" name="To Port/Quantity"/>
    <x:tableColumn id="6" name="Item/Quantity"/>
    <x:tableColumn id="7" name="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3:F13" headerRowCount="1" totalsRowCount="0" totalsRowShown="0">
  <x:tableColumns count="6">
    <x:tableColumn id="1" name="Date"/>
    <x:tableColumn id="2" name="Record"/>
    <x:tableColumn id="3" name="Revision"/>
    <x:tableColumn id="4" name="Status"/>
    <x:tableColumn id="5" name="Summary"/>
    <x:tableColumn id="6" name="Precedence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IndexTable" displayName="SourceIndexTable" ref="A3:G18" headerRowCount="1" totalsRowCount="0" totalsRowShown="0">
  <x:tableColumns count="7">
    <x:tableColumn id="1" name="Source ID"/>
    <x:tableColumn id="2" name="Filename"/>
    <x:tableColumn id="3" name="Type"/>
    <x:tableColumn id="4" name="Revision"/>
    <x:tableColumn id="5" name="Reliability"/>
    <x:tableColumn id="6" name="Contains"/>
    <x:tableColumn id="7" name="Known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1a5dc92474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4223ae61a49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a167afd44842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28e2c7a9a945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1b12c0c82545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1cffd011f5439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</x:cols>
  <x:sheetData>
    <x:row r="1">
      <x:c r="A1" s="4" t="str">
        <x:v>Quasi-Static Magnetic Circuit - Synthetic Engineering Evidence Register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Hackathon task: infer a coherent SysML v2 representation from heterogeneous evidence for a quasi-static magnetic circuit with an iron core, discrete air gap, leakage branch, exciting coil, measuring coil, flux sensor, and electric/magnetic grounds. The evidence intentionally contains superseded permeability, leakage, measuring-coil and as-built geometry values.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6">
      <x:c r="A6" s="11"/>
      <x:c r="B6" s="11"/>
      <x:c r="C6" s="11"/>
      <x:c r="D6" s="11"/>
      <x:c r="E6" s="11"/>
      <x:c r="F6" s="11"/>
      <x:c r="G6" s="11"/>
      <x:c r="H6" s="11"/>
    </x:row>
    <x:row r="8">
      <x:c r="A8" s="20" t="str">
        <x:v>Effective benchmark parameter</x:v>
      </x:c>
      <x:c r="B8" s="20" t="str">
        <x:v>Value</x:v>
      </x:c>
    </x:row>
    <x:row r="9">
      <x:c r="A9" t="str">
        <x:v>Core side a</x:v>
      </x:c>
      <x:c r="B9" t="str">
        <x:v>25 mm</x:v>
      </x:c>
    </x:row>
    <x:row r="10">
      <x:c r="A10" t="str">
        <x:v>Reference dimension l</x:v>
      </x:c>
      <x:c r="B10" t="str">
        <x:v>150 mm</x:v>
      </x:c>
    </x:row>
    <x:row r="11">
      <x:c r="A11" t="str">
        <x:v>Nominal gap delta</x:v>
      </x:c>
      <x:c r="B11" t="str">
        <x:v>1.50 mm</x:v>
      </x:c>
    </x:row>
    <x:row r="12">
      <x:c r="A12" t="str">
        <x:v>Relative permeability</x:v>
      </x:c>
      <x:c r="B12" t="str">
        <x:v>1200</x:v>
      </x:c>
    </x:row>
    <x:row r="13">
      <x:c r="A13" t="str">
        <x:v>Leakage coefficient sigma</x:v>
      </x:c>
      <x:c r="B13" t="str">
        <x:v>0.08</x:v>
      </x:c>
    </x:row>
    <x:row r="14">
      <x:c r="A14" t="str">
        <x:v>Exciting coil turns</x:v>
      </x:c>
      <x:c r="B14" t="str">
        <x:v>600</x:v>
      </x:c>
    </x:row>
    <x:row r="15">
      <x:c r="A15" t="str">
        <x:v>Measuring coil turns</x:v>
      </x:c>
      <x:c r="B15" t="str">
        <x:v>50</x:v>
      </x:c>
    </x:row>
    <x:row r="16">
      <x:c r="A16" t="str">
        <x:v>Frequency</x:v>
      </x:c>
      <x:c r="B16" t="str">
        <x:v>50 Hz</x:v>
      </x:c>
    </x:row>
    <x:row r="17">
      <x:c r="A17" t="str">
        <x:v>Current ramp</x:v>
      </x:c>
      <x:c r="B17" t="str">
        <x:v>0 -&gt; 2 A RMS, 0.10-0.50 s</x:v>
      </x:c>
    </x:row>
  </x:sheetData>
  <x:mergeCells>
    <x:mergeCell ref="A1:H1"/>
    <x:mergeCell ref="A3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62" hidden="0" customWidth="1"/>
    <x:col min="4" max="4" width="16" hidden="0" customWidth="1"/>
    <x:col min="5" max="5" width="12" hidden="0" customWidth="1"/>
    <x:col min="6" max="6" width="14" hidden="0" customWidth="1"/>
    <x:col min="7" max="7" width="16" hidden="0" customWidth="1"/>
    <x:col min="8" max="8" width="18" hidden="0" customWidth="1"/>
  </x:cols>
  <x:sheetData>
    <x:row r="1">
      <x:c r="A1" s="4" t="str">
        <x:v>Requirement Register</x:v>
      </x:c>
      <x:c r="B1" s="4"/>
      <x:c r="C1" s="4"/>
      <x:c r="D1" s="4"/>
      <x:c r="E1" s="4"/>
      <x:c r="F1" s="4"/>
      <x:c r="G1" s="4"/>
      <x:c r="H1" s="4"/>
    </x:row>
    <x:row r="3">
      <x:c r="A3" s="20" t="str">
        <x:v>Req ID</x:v>
      </x:c>
      <x:c r="B3" s="20" t="str">
        <x:v>Authority</x:v>
      </x:c>
      <x:c r="C3" s="20" t="str">
        <x:v>Requirement</x:v>
      </x:c>
      <x:c r="D3" s="20" t="str">
        <x:v>Category</x:v>
      </x:c>
      <x:c r="E3" s="20" t="str">
        <x:v>Priority</x:v>
      </x:c>
      <x:c r="F3" s="20" t="str">
        <x:v>Status</x:v>
      </x:c>
      <x:c r="G3" s="20" t="str">
        <x:v>Superseded By</x:v>
      </x:c>
      <x:c r="H3" s="20" t="str">
        <x:v>Verification</x:v>
      </x:c>
    </x:row>
    <x:row r="4">
      <x:c r="A4" s="26" t="str">
        <x:v>REQ-FUN-001</x:v>
      </x:c>
      <x:c r="B4" s="26" t="str">
        <x:v>System Requirements Rev A</x:v>
      </x:c>
      <x:c r="C4" s="26" t="str">
        <x:v>The electromagnetic converter shall create positive magnetic mmf when positive exciting-coil current is applied.</x:v>
      </x:c>
      <x:c r="D4" s="26" t="str">
        <x:v>Functional</x:v>
      </x:c>
      <x:c r="E4" s="26" t="str">
        <x:v>Must</x:v>
      </x:c>
      <x:c r="F4" s="26" t="str">
        <x:v>Active</x:v>
      </x:c>
      <x:c r="G4" s="26" t="str"/>
      <x:c r="H4" s="26" t="str">
        <x:v>Analytic/Test</x:v>
      </x:c>
    </x:row>
    <x:row r="5">
      <x:c r="A5" s="26" t="str">
        <x:v>REQ-FUN-002</x:v>
      </x:c>
      <x:c r="B5" s="26" t="str">
        <x:v>System Requirements Rev A</x:v>
      </x:c>
      <x:c r="C5" s="26" t="str">
        <x:v>The core magnetic circuit shall include left leg, upper yoke, right leg, lower yoke and one discrete air gap.</x:v>
      </x:c>
      <x:c r="D5" s="26" t="str">
        <x:v>Structural</x:v>
      </x:c>
      <x:c r="E5" s="26" t="str">
        <x:v>Must</x:v>
      </x:c>
      <x:c r="F5" s="26" t="str">
        <x:v>Active</x:v>
      </x:c>
      <x:c r="G5" s="26" t="str"/>
      <x:c r="H5" s="26" t="str">
        <x:v>Inspection</x:v>
      </x:c>
    </x:row>
    <x:row r="6">
      <x:c r="A6" s="26" t="str">
        <x:v>REQ-FUN-003</x:v>
      </x:c>
      <x:c r="B6" s="26" t="str">
        <x:v>System Requirements Rev A</x:v>
      </x:c>
      <x:c r="C6" s="26" t="str">
        <x:v>The magnetic circuit shall include a leakage flux path in parallel with the useful air-gap path.</x:v>
      </x:c>
      <x:c r="D6" s="26" t="str">
        <x:v>Structural</x:v>
      </x:c>
      <x:c r="E6" s="26" t="str">
        <x:v>Must</x:v>
      </x:c>
      <x:c r="F6" s="26" t="str">
        <x:v>Active</x:v>
      </x:c>
      <x:c r="G6" s="26" t="str"/>
      <x:c r="H6" s="26" t="str">
        <x:v>Inspection/Analysis</x:v>
      </x:c>
    </x:row>
    <x:row r="7">
      <x:c r="A7" s="26" t="str">
        <x:v>REQ-FUN-004</x:v>
      </x:c>
      <x:c r="B7" s="26" t="str">
        <x:v>Magnetic Design Note Rev C</x:v>
      </x:c>
      <x:c r="C7" s="26" t="str">
        <x:v>Useful air-gap flux shall be modeled as (1-sigma) times total core flux.</x:v>
      </x:c>
      <x:c r="D7" s="26" t="str">
        <x:v>Functional</x:v>
      </x:c>
      <x:c r="E7" s="26" t="str">
        <x:v>Must</x:v>
      </x:c>
      <x:c r="F7" s="26" t="str">
        <x:v>Active</x:v>
      </x:c>
      <x:c r="G7" s="26" t="str"/>
      <x:c r="H7" s="26" t="str">
        <x:v>Analysis</x:v>
      </x:c>
    </x:row>
    <x:row r="8">
      <x:c r="A8" s="26" t="str">
        <x:v>REQ-PER-001</x:v>
      </x:c>
      <x:c r="B8" s="26" t="str">
        <x:v>CR-MAG-006</x:v>
      </x:c>
      <x:c r="C8" s="26" t="str">
        <x:v>The effective leakage coefficient sigma shall be 0.08 for the released benchmark configuration.</x:v>
      </x:c>
      <x:c r="D8" s="26" t="str">
        <x:v>Parameter</x:v>
      </x:c>
      <x:c r="E8" s="26" t="str">
        <x:v>Must</x:v>
      </x:c>
      <x:c r="F8" s="26" t="str">
        <x:v>Active</x:v>
      </x:c>
      <x:c r="G8" s="26" t="str"/>
      <x:c r="H8" s="26" t="str">
        <x:v>Analytic/Test</x:v>
      </x:c>
    </x:row>
    <x:row r="9">
      <x:c r="A9" s="26" t="str">
        <x:v>REQ-PER-002</x:v>
      </x:c>
      <x:c r="B9" s="26" t="str">
        <x:v>CR-MAG-004</x:v>
      </x:c>
      <x:c r="C9" s="26" t="str">
        <x:v>The released effective relative permeability of the iron core shall be 1200 under the linear benchmark assumption.</x:v>
      </x:c>
      <x:c r="D9" s="26" t="str">
        <x:v>Parameter</x:v>
      </x:c>
      <x:c r="E9" s="26" t="str">
        <x:v>Must</x:v>
      </x:c>
      <x:c r="F9" s="26" t="str">
        <x:v>Active</x:v>
      </x:c>
      <x:c r="G9" s="26" t="str"/>
      <x:c r="H9" s="26" t="str">
        <x:v>Analytic/Test</x:v>
      </x:c>
    </x:row>
    <x:row r="10">
      <x:c r="A10" s="26" t="str">
        <x:v>REQ-GEO-001</x:v>
      </x:c>
      <x:c r="B10" s="26" t="str">
        <x:v>Drawing MC-101 Rev B</x:v>
      </x:c>
      <x:c r="C10" s="26" t="str">
        <x:v>The square core cross section shall have side a = 25 mm.</x:v>
      </x:c>
      <x:c r="D10" s="26" t="str">
        <x:v>Geometry</x:v>
      </x:c>
      <x:c r="E10" s="26" t="str">
        <x:v>Must</x:v>
      </x:c>
      <x:c r="F10" s="26" t="str">
        <x:v>Active</x:v>
      </x:c>
      <x:c r="G10" s="26" t="str"/>
      <x:c r="H10" s="26" t="str">
        <x:v>Inspection</x:v>
      </x:c>
    </x:row>
    <x:row r="11">
      <x:c r="A11" s="26" t="str">
        <x:v>REQ-GEO-002</x:v>
      </x:c>
      <x:c r="B11" s="26" t="str">
        <x:v>Drawing MC-101 Rev B</x:v>
      </x:c>
      <x:c r="C11" s="26" t="str">
        <x:v>The mean outside magnetic-circuit dimension l shall be 150 mm as defined on the reference drawing.</x:v>
      </x:c>
      <x:c r="D11" s="26" t="str">
        <x:v>Geometry</x:v>
      </x:c>
      <x:c r="E11" s="26" t="str">
        <x:v>Must</x:v>
      </x:c>
      <x:c r="F11" s="26" t="str">
        <x:v>Active</x:v>
      </x:c>
      <x:c r="G11" s="26" t="str"/>
      <x:c r="H11" s="26" t="str">
        <x:v>Inspection</x:v>
      </x:c>
    </x:row>
    <x:row r="12">
      <x:c r="A12" s="26" t="str">
        <x:v>REQ-GEO-003</x:v>
      </x:c>
      <x:c r="B12" s="26" t="str">
        <x:v>Drawing MC-101 Rev B</x:v>
      </x:c>
      <x:c r="C12" s="26" t="str">
        <x:v>The nominal air-gap length delta shall be 1.50 mm.</x:v>
      </x:c>
      <x:c r="D12" s="26" t="str">
        <x:v>Geometry</x:v>
      </x:c>
      <x:c r="E12" s="26" t="str">
        <x:v>Must</x:v>
      </x:c>
      <x:c r="F12" s="26" t="str">
        <x:v>Active</x:v>
      </x:c>
      <x:c r="G12" s="26" t="str"/>
      <x:c r="H12" s="26" t="str">
        <x:v>Inspection</x:v>
      </x:c>
    </x:row>
    <x:row r="13">
      <x:c r="A13" s="26" t="str">
        <x:v>REQ-GEO-004</x:v>
      </x:c>
      <x:c r="B13" s="26" t="str">
        <x:v>Drawing MC-101 Rev B</x:v>
      </x:c>
      <x:c r="C13" s="26" t="str">
        <x:v>Mean flux-line lengths shall be l-a for left leg, upper yoke and lower yoke, and l-a-delta for the right leg iron section.</x:v>
      </x:c>
      <x:c r="D13" s="26" t="str">
        <x:v>Geometry</x:v>
      </x:c>
      <x:c r="E13" s="26" t="str">
        <x:v>Must</x:v>
      </x:c>
      <x:c r="F13" s="26" t="str">
        <x:v>Active</x:v>
      </x:c>
      <x:c r="G13" s="26" t="str"/>
      <x:c r="H13" s="26" t="str">
        <x:v>Analysis</x:v>
      </x:c>
    </x:row>
    <x:row r="14">
      <x:c r="A14" s="26" t="str">
        <x:v>REQ-ELC-001</x:v>
      </x:c>
      <x:c r="B14" s="26" t="str">
        <x:v>Coil Data Rev B</x:v>
      </x:c>
      <x:c r="C14" s="26" t="str">
        <x:v>The exciting coil shall have 600 turns.</x:v>
      </x:c>
      <x:c r="D14" s="26" t="str">
        <x:v>Electrical</x:v>
      </x:c>
      <x:c r="E14" s="26" t="str">
        <x:v>Must</x:v>
      </x:c>
      <x:c r="F14" s="26" t="str">
        <x:v>Active</x:v>
      </x:c>
      <x:c r="G14" s="26" t="str"/>
      <x:c r="H14" s="26" t="str">
        <x:v>Inspection</x:v>
      </x:c>
    </x:row>
    <x:row r="15">
      <x:c r="A15" s="26" t="str">
        <x:v>REQ-ELC-002</x:v>
      </x:c>
      <x:c r="B15" s="26" t="str">
        <x:v>Coil Data Rev B</x:v>
      </x:c>
      <x:c r="C15" s="26" t="str">
        <x:v>The measuring coil in the air gap shall have 50 turns.</x:v>
      </x:c>
      <x:c r="D15" s="26" t="str">
        <x:v>Electrical</x:v>
      </x:c>
      <x:c r="E15" s="26" t="str">
        <x:v>Must</x:v>
      </x:c>
      <x:c r="F15" s="26" t="str">
        <x:v>Active</x:v>
      </x:c>
      <x:c r="G15" s="26" t="str"/>
      <x:c r="H15" s="26" t="str">
        <x:v>Inspection</x:v>
      </x:c>
    </x:row>
    <x:row r="16">
      <x:c r="A16" s="26" t="str">
        <x:v>REQ-ELC-003</x:v>
      </x:c>
      <x:c r="B16" s="26" t="str">
        <x:v>Excitation Profile EP-03</x:v>
      </x:c>
      <x:c r="C16" s="26" t="str">
        <x:v>The exciting current RMS phasor magnitude shall ramp from 0 A to 2.0 A between 0.10 s and 0.50 s and then remain at 2.0 A through 1.0 s.</x:v>
      </x:c>
      <x:c r="D16" s="26" t="str">
        <x:v>Electrical</x:v>
      </x:c>
      <x:c r="E16" s="26" t="str">
        <x:v>Must</x:v>
      </x:c>
      <x:c r="F16" s="26" t="str">
        <x:v>Active</x:v>
      </x:c>
      <x:c r="G16" s="26" t="str"/>
      <x:c r="H16" s="26" t="str">
        <x:v>Test</x:v>
      </x:c>
    </x:row>
    <x:row r="17">
      <x:c r="A17" s="26" t="str">
        <x:v>REQ-ELC-004</x:v>
      </x:c>
      <x:c r="B17" s="26" t="str">
        <x:v>Excitation Profile EP-03</x:v>
      </x:c>
      <x:c r="C17" s="26" t="str">
        <x:v>The quasi-static excitation frequency shall be 50 Hz.</x:v>
      </x:c>
      <x:c r="D17" s="26" t="str">
        <x:v>Electrical</x:v>
      </x:c>
      <x:c r="E17" s="26" t="str">
        <x:v>Must</x:v>
      </x:c>
      <x:c r="F17" s="26" t="str">
        <x:v>Active</x:v>
      </x:c>
      <x:c r="G17" s="26" t="str"/>
      <x:c r="H17" s="26" t="str">
        <x:v>Test</x:v>
      </x:c>
    </x:row>
    <x:row r="18">
      <x:c r="A18" s="26" t="str">
        <x:v>REQ-MAG-001</x:v>
      </x:c>
      <x:c r="B18" s="26" t="str">
        <x:v>Magnetic Design Note Rev C</x:v>
      </x:c>
      <x:c r="C18" s="26" t="str">
        <x:v>For each linear flux-tube element, reluctance shall be Rm = length/(mu0*mu_r*A).</x:v>
      </x:c>
      <x:c r="D18" s="26" t="str">
        <x:v>Equation</x:v>
      </x:c>
      <x:c r="E18" s="26" t="str">
        <x:v>Must</x:v>
      </x:c>
      <x:c r="F18" s="26" t="str">
        <x:v>Active</x:v>
      </x:c>
      <x:c r="G18" s="26" t="str"/>
      <x:c r="H18" s="26" t="str">
        <x:v>Analysis</x:v>
      </x:c>
    </x:row>
    <x:row r="19">
      <x:c r="A19" s="26" t="str">
        <x:v>REQ-MAG-002</x:v>
      </x:c>
      <x:c r="B19" s="26" t="str">
        <x:v>Magnetic Design Note Rev C</x:v>
      </x:c>
      <x:c r="C19" s="26" t="str">
        <x:v>Flux density shall be B = Phi/A for constant cross-section elements.</x:v>
      </x:c>
      <x:c r="D19" s="26" t="str">
        <x:v>Equation</x:v>
      </x:c>
      <x:c r="E19" s="26" t="str">
        <x:v>Must</x:v>
      </x:c>
      <x:c r="F19" s="26" t="str">
        <x:v>Active</x:v>
      </x:c>
      <x:c r="G19" s="26" t="str"/>
      <x:c r="H19" s="26" t="str">
        <x:v>Analysis</x:v>
      </x:c>
    </x:row>
    <x:row r="20">
      <x:c r="A20" s="26" t="str">
        <x:v>REQ-MAG-003</x:v>
      </x:c>
      <x:c r="B20" s="26" t="str">
        <x:v>Magnetic Design Note Rev C</x:v>
      </x:c>
      <x:c r="C20" s="26" t="str">
        <x:v>Core field strength shall be H = B/(mu0*mu_r), and air-gap field strength shall be H = B/mu0.</x:v>
      </x:c>
      <x:c r="D20" s="26" t="str">
        <x:v>Equation</x:v>
      </x:c>
      <x:c r="E20" s="26" t="str">
        <x:v>Must</x:v>
      </x:c>
      <x:c r="F20" s="26" t="str">
        <x:v>Active</x:v>
      </x:c>
      <x:c r="G20" s="26" t="str"/>
      <x:c r="H20" s="26" t="str">
        <x:v>Analysis</x:v>
      </x:c>
    </x:row>
    <x:row r="21">
      <x:c r="A21" s="26" t="str">
        <x:v>REQ-MAG-004</x:v>
      </x:c>
      <x:c r="B21" s="26" t="str">
        <x:v>Magnetic Design Note Rev C</x:v>
      </x:c>
      <x:c r="C21" s="26" t="str">
        <x:v>Magnetic potential difference of each element shall equal H multiplied by its mean flux-line length.</x:v>
      </x:c>
      <x:c r="D21" s="26" t="str">
        <x:v>Equation</x:v>
      </x:c>
      <x:c r="E21" s="26" t="str">
        <x:v>Must</x:v>
      </x:c>
      <x:c r="F21" s="26" t="str">
        <x:v>Active</x:v>
      </x:c>
      <x:c r="G21" s="26" t="str"/>
      <x:c r="H21" s="26" t="str">
        <x:v>Analysis</x:v>
      </x:c>
    </x:row>
    <x:row r="22">
      <x:c r="A22" s="26" t="str">
        <x:v>REQ-MAG-005</x:v>
      </x:c>
      <x:c r="B22" s="26" t="str">
        <x:v>Magnetic Design Note Rev C</x:v>
      </x:c>
      <x:c r="C22" s="26" t="str">
        <x:v>The sum of series core magnetic potential drops plus the air-gap branch magnetic potential shall equal N*I.</x:v>
      </x:c>
      <x:c r="D22" s="26" t="str">
        <x:v>Conservation</x:v>
      </x:c>
      <x:c r="E22" s="26" t="str">
        <x:v>Must</x:v>
      </x:c>
      <x:c r="F22" s="26" t="str">
        <x:v>Active</x:v>
      </x:c>
      <x:c r="G22" s="26" t="str"/>
      <x:c r="H22" s="26" t="str">
        <x:v>Analysis/Test</x:v>
      </x:c>
    </x:row>
    <x:row r="23">
      <x:c r="A23" s="26" t="str">
        <x:v>REQ-MAG-006</x:v>
      </x:c>
      <x:c r="B23" s="26" t="str">
        <x:v>Magnetic Design Note Rev C</x:v>
      </x:c>
      <x:c r="C23" s="26" t="str">
        <x:v>Magnetic potential difference across GAP-1 and LEAK-1 shall be equal because the elements are connected in parallel.</x:v>
      </x:c>
      <x:c r="D23" s="26" t="str">
        <x:v>Conservation</x:v>
      </x:c>
      <x:c r="E23" s="26" t="str">
        <x:v>Must</x:v>
      </x:c>
      <x:c r="F23" s="26" t="str">
        <x:v>Active</x:v>
      </x:c>
      <x:c r="G23" s="26" t="str"/>
      <x:c r="H23" s="26" t="str">
        <x:v>Analysis</x:v>
      </x:c>
    </x:row>
    <x:row r="24">
      <x:c r="A24" s="26" t="str">
        <x:v>REQ-MAG-007</x:v>
      </x:c>
      <x:c r="B24" s="26" t="str">
        <x:v>Magnetic Design Note Rev C</x:v>
      </x:c>
      <x:c r="C24" s="26" t="str">
        <x:v>Flux continuity shall be satisfied at the split: Phi_core = Phi_gap + Phi_leak.</x:v>
      </x:c>
      <x:c r="D24" s="26" t="str">
        <x:v>Conservation</x:v>
      </x:c>
      <x:c r="E24" s="26" t="str">
        <x:v>Must</x:v>
      </x:c>
      <x:c r="F24" s="26" t="str">
        <x:v>Active</x:v>
      </x:c>
      <x:c r="G24" s="26" t="str"/>
      <x:c r="H24" s="26" t="str">
        <x:v>Analysis</x:v>
      </x:c>
    </x:row>
    <x:row r="25">
      <x:c r="A25" s="26" t="str">
        <x:v>REQ-QS-001</x:v>
      </x:c>
      <x:c r="B25" s="26" t="str">
        <x:v>QS Modeling Standard</x:v>
      </x:c>
      <x:c r="C25" s="26" t="str">
        <x:v>Magnetic flux, flux density, field strength and magnetic potential shall be represented as quasi-static phasor quantities.</x:v>
      </x:c>
      <x:c r="D25" s="26" t="str">
        <x:v>Modeling</x:v>
      </x:c>
      <x:c r="E25" s="26" t="str">
        <x:v>Must</x:v>
      </x:c>
      <x:c r="F25" s="26" t="str">
        <x:v>Active</x:v>
      </x:c>
      <x:c r="G25" s="26" t="str"/>
      <x:c r="H25" s="26" t="str">
        <x:v>Model Review</x:v>
      </x:c>
    </x:row>
    <x:row r="26">
      <x:c r="A26" s="26" t="str">
        <x:v>REQ-QS-002</x:v>
      </x:c>
      <x:c r="B26" s="26" t="str">
        <x:v>QS Modeling Standard</x:v>
      </x:c>
      <x:c r="C26" s="26" t="str">
        <x:v>For linear reluctance elements, reluctance shall remain a real-valued quantity and magnetic potential difference and flux shall have the same phasor angle.</x:v>
      </x:c>
      <x:c r="D26" s="26" t="str">
        <x:v>Modeling</x:v>
      </x:c>
      <x:c r="E26" s="26" t="str">
        <x:v>Must</x:v>
      </x:c>
      <x:c r="F26" s="26" t="str">
        <x:v>Active</x:v>
      </x:c>
      <x:c r="G26" s="26" t="str"/>
      <x:c r="H26" s="26" t="str">
        <x:v>Model Review</x:v>
      </x:c>
    </x:row>
    <x:row r="27">
      <x:c r="A27" s="26" t="str">
        <x:v>REQ-IND-001</x:v>
      </x:c>
      <x:c r="B27" s="26" t="str">
        <x:v>Coil Data Rev B</x:v>
      </x:c>
      <x:c r="C27" s="26" t="str">
        <x:v>The exciting coil induced voltage shall be oriented positive with respect to the defined positive electric direction.</x:v>
      </x:c>
      <x:c r="D27" s="26" t="str">
        <x:v>Induction</x:v>
      </x:c>
      <x:c r="E27" s="26" t="str">
        <x:v>Must</x:v>
      </x:c>
      <x:c r="F27" s="26" t="str">
        <x:v>Active</x:v>
      </x:c>
      <x:c r="G27" s="26" t="str"/>
      <x:c r="H27" s="26" t="str">
        <x:v>Test</x:v>
      </x:c>
    </x:row>
    <x:row r="28">
      <x:c r="A28" s="26" t="str">
        <x:v>REQ-IND-002</x:v>
      </x:c>
      <x:c r="B28" s="26" t="str">
        <x:v>Coil Data Rev B</x:v>
      </x:c>
      <x:c r="C28" s="26" t="str">
        <x:v>The measuring coil induced voltage shall be oriented negative with respect to the air-gap flux direction shown in the reference configuration.</x:v>
      </x:c>
      <x:c r="D28" s="26" t="str">
        <x:v>Induction</x:v>
      </x:c>
      <x:c r="E28" s="26" t="str">
        <x:v>Must</x:v>
      </x:c>
      <x:c r="F28" s="26" t="str">
        <x:v>Active</x:v>
      </x:c>
      <x:c r="G28" s="26" t="str"/>
      <x:c r="H28" s="26" t="str">
        <x:v>Test</x:v>
      </x:c>
    </x:row>
    <x:row r="29">
      <x:c r="A29" s="26" t="str">
        <x:v>REQ-IND-003</x:v>
      </x:c>
      <x:c r="B29" s="26" t="str">
        <x:v>QS Modeling Standard</x:v>
      </x:c>
      <x:c r="C29" s="26" t="str">
        <x:v>Induced-voltage phasor magnitude for a sinusoidal flux shall satisfy |U| = 2*pi*f*N*|Phi|.</x:v>
      </x:c>
      <x:c r="D29" s="26" t="str">
        <x:v>Induction</x:v>
      </x:c>
      <x:c r="E29" s="26" t="str">
        <x:v>Must</x:v>
      </x:c>
      <x:c r="F29" s="26" t="str">
        <x:v>Active</x:v>
      </x:c>
      <x:c r="G29" s="26" t="str"/>
      <x:c r="H29" s="26" t="str">
        <x:v>Analysis/Test</x:v>
      </x:c>
    </x:row>
    <x:row r="30">
      <x:c r="A30" s="26" t="str">
        <x:v>REQ-GND-001</x:v>
      </x:c>
      <x:c r="B30" s="26" t="str">
        <x:v>QS Modeling Standard</x:v>
      </x:c>
      <x:c r="C30" s="26" t="str">
        <x:v>The electrical network shall contain an electric ground defining zero electric potential.</x:v>
      </x:c>
      <x:c r="D30" s="26" t="str">
        <x:v>Interface</x:v>
      </x:c>
      <x:c r="E30" s="26" t="str">
        <x:v>Must</x:v>
      </x:c>
      <x:c r="F30" s="26" t="str">
        <x:v>Active</x:v>
      </x:c>
      <x:c r="G30" s="26" t="str"/>
      <x:c r="H30" s="26" t="str">
        <x:v>Inspection</x:v>
      </x:c>
    </x:row>
    <x:row r="31">
      <x:c r="A31" s="26" t="str">
        <x:v>REQ-GND-002</x:v>
      </x:c>
      <x:c r="B31" s="26" t="str">
        <x:v>QS Modeling Standard</x:v>
      </x:c>
      <x:c r="C31" s="26" t="str">
        <x:v>The magnetic network shall contain a magnetic ground defining zero magnetic scalar potential.</x:v>
      </x:c>
      <x:c r="D31" s="26" t="str">
        <x:v>Interface</x:v>
      </x:c>
      <x:c r="E31" s="26" t="str">
        <x:v>Must</x:v>
      </x:c>
      <x:c r="F31" s="26" t="str">
        <x:v>Active</x:v>
      </x:c>
      <x:c r="G31" s="26" t="str"/>
      <x:c r="H31" s="26" t="str">
        <x:v>Inspection</x:v>
      </x:c>
    </x:row>
    <x:row r="32">
      <x:c r="A32" s="26" t="str">
        <x:v>REQ-ASM-001</x:v>
      </x:c>
      <x:c r="B32" s="26" t="str">
        <x:v>Benchmark Assumptions</x:v>
      </x:c>
      <x:c r="C32" s="26" t="str">
        <x:v>Force interaction shall not be modeled.</x:v>
      </x:c>
      <x:c r="D32" s="26" t="str">
        <x:v>Assumption</x:v>
      </x:c>
      <x:c r="E32" s="26" t="str">
        <x:v>Must</x:v>
      </x:c>
      <x:c r="F32" s="26" t="str">
        <x:v>Active</x:v>
      </x:c>
      <x:c r="G32" s="26" t="str"/>
      <x:c r="H32" s="26" t="str">
        <x:v>Model Review</x:v>
      </x:c>
    </x:row>
    <x:row r="33">
      <x:c r="A33" s="26" t="str">
        <x:v>REQ-ASM-002</x:v>
      </x:c>
      <x:c r="B33" s="26" t="str">
        <x:v>Benchmark Assumptions</x:v>
      </x:c>
      <x:c r="C33" s="26" t="str">
        <x:v>Core reluctance shall be linear with constant effective relative permeability for this benchmark.</x:v>
      </x:c>
      <x:c r="D33" s="26" t="str">
        <x:v>Assumption</x:v>
      </x:c>
      <x:c r="E33" s="26" t="str">
        <x:v>Must</x:v>
      </x:c>
      <x:c r="F33" s="26" t="str">
        <x:v>Active</x:v>
      </x:c>
      <x:c r="G33" s="26" t="str"/>
      <x:c r="H33" s="26" t="str">
        <x:v>Model Review</x:v>
      </x:c>
    </x:row>
    <x:row r="34">
      <x:c r="A34" s="26" t="str">
        <x:v>REQ-VV-001</x:v>
      </x:c>
      <x:c r="B34" s="26" t="str">
        <x:v>Analytic Verification AV-11</x:v>
      </x:c>
      <x:c r="C34" s="26" t="str">
        <x:v>At 2.0 A RMS, analytic and simulated total mmf balance shall agree within 0.5%.</x:v>
      </x:c>
      <x:c r="D34" s="26" t="str">
        <x:v>Verification</x:v>
      </x:c>
      <x:c r="E34" s="26" t="str">
        <x:v>Must</x:v>
      </x:c>
      <x:c r="F34" s="26" t="str">
        <x:v>Active</x:v>
      </x:c>
      <x:c r="G34" s="26" t="str"/>
      <x:c r="H34" s="26" t="str">
        <x:v>Test</x:v>
      </x:c>
    </x:row>
    <x:row r="35">
      <x:c r="A35" s="26" t="str">
        <x:v>REQ-VV-002</x:v>
      </x:c>
      <x:c r="B35" s="26" t="str">
        <x:v>Analytic Verification AV-11</x:v>
      </x:c>
      <x:c r="C35" s="26" t="str">
        <x:v>At 2.0 A RMS, the simulated useful/core flux ratio shall equal 0.92 within 0.2 percentage points.</x:v>
      </x:c>
      <x:c r="D35" s="26" t="str">
        <x:v>Verification</x:v>
      </x:c>
      <x:c r="E35" s="26" t="str">
        <x:v>Must</x:v>
      </x:c>
      <x:c r="F35" s="26" t="str">
        <x:v>Active</x:v>
      </x:c>
      <x:c r="G35" s="26" t="str"/>
      <x:c r="H35" s="26" t="str">
        <x:v>Test</x:v>
      </x:c>
    </x:row>
    <x:row r="36">
      <x:c r="A36" s="26" t="str">
        <x:v>REQ-VV-003</x:v>
      </x:c>
      <x:c r="B36" s="26" t="str">
        <x:v>Analytic Verification AV-11</x:v>
      </x:c>
      <x:c r="C36" s="26" t="str">
        <x:v>At 2.0 A RMS, simulated flux, B, H and induced-voltage magnitudes shall agree with the released analytic calculation within 1%.</x:v>
      </x:c>
      <x:c r="D36" s="26" t="str">
        <x:v>Verification</x:v>
      </x:c>
      <x:c r="E36" s="26" t="str">
        <x:v>Must</x:v>
      </x:c>
      <x:c r="F36" s="26" t="str">
        <x:v>Active</x:v>
      </x:c>
      <x:c r="G36" s="26" t="str"/>
      <x:c r="H36" s="26" t="str">
        <x:v>Test</x:v>
      </x:c>
    </x:row>
    <x:row r="37">
      <x:c r="A37" s="26" t="str">
        <x:v>REQ-DAT-001</x:v>
      </x:c>
      <x:c r="B37" s="26" t="str">
        <x:v>ICD-MAG-02</x:v>
      </x:c>
      <x:c r="C37" s="26" t="str">
        <x:v>Flux sensor output shall expose the useful air-gap flux with positive sign in the arrow direction shown on the reference model.</x:v>
      </x:c>
      <x:c r="D37" s="26" t="str">
        <x:v>Interface</x:v>
      </x:c>
      <x:c r="E37" s="26" t="str">
        <x:v>Must</x:v>
      </x:c>
      <x:c r="F37" s="26" t="str">
        <x:v>Active</x:v>
      </x:c>
      <x:c r="G37" s="26" t="str"/>
      <x:c r="H37" s="26" t="str">
        <x:v>Inspection/Test</x:v>
      </x:c>
    </x:row>
    <x:row r="38">
      <x:c r="A38" s="26" t="str">
        <x:v>REQ-DAT-002</x:v>
      </x:c>
      <x:c r="B38" s="26" t="str">
        <x:v>ICD-MAG-02</x:v>
      </x:c>
      <x:c r="C38" s="26" t="str">
        <x:v>Current, flux, magnetic potential and induced-voltage channels shall retain explicit units and phasor convention metadata.</x:v>
      </x:c>
      <x:c r="D38" s="26" t="str">
        <x:v>Data</x:v>
      </x:c>
      <x:c r="E38" s="26" t="str">
        <x:v>Must</x:v>
      </x:c>
      <x:c r="F38" s="26" t="str">
        <x:v>Active</x:v>
      </x:c>
      <x:c r="G38" s="26" t="str"/>
      <x:c r="H38" s="26" t="str">
        <x:v>Inspection</x:v>
      </x:c>
    </x:row>
  </x:sheetData>
  <x:mergeCells>
    <x:mergeCell ref="A1:H1"/>
  </x:mergeCells>
  <x:dataValidations count="1">
    <x:dataValidation type="list" sqref="F4:F38">
      <x:formula1>"Active,Superseded,Draft"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1a5dc9247441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2" hidden="0" customWidth="1"/>
    <x:col min="4" max="4" width="16" hidden="0" customWidth="1"/>
    <x:col min="5" max="5" width="12" hidden="0" customWidth="1"/>
    <x:col min="6" max="6" width="28" hidden="0" customWidth="1"/>
    <x:col min="7" max="7" width="18" hidden="0" customWidth="1"/>
  </x:cols>
  <x:sheetData>
    <x:row r="1">
      <x:c r="A1" s="4" t="str">
        <x:v>Parameter and Revision Register</x:v>
      </x:c>
      <x:c r="B1" s="4"/>
      <x:c r="C1" s="4"/>
      <x:c r="D1" s="4"/>
      <x:c r="E1" s="4"/>
      <x:c r="F1" s="4"/>
      <x:c r="G1" s="4"/>
    </x:row>
    <x:row r="3">
      <x:c r="A3" s="20" t="str">
        <x:v>Parameter ID</x:v>
      </x:c>
      <x:c r="B3" s="20" t="str">
        <x:v>Scope</x:v>
      </x:c>
      <x:c r="C3" s="20" t="str">
        <x:v>Description</x:v>
      </x:c>
      <x:c r="D3" s="20" t="str">
        <x:v>Value</x:v>
      </x:c>
      <x:c r="E3" s="20" t="str">
        <x:v>Units</x:v>
      </x:c>
      <x:c r="F3" s="20" t="str">
        <x:v>Source</x:v>
      </x:c>
      <x:c r="G3" s="20" t="str">
        <x:v>Status</x:v>
      </x:c>
    </x:row>
    <x:row r="4">
      <x:c r="A4" s="26" t="str">
        <x:v>PAR-A</x:v>
      </x:c>
      <x:c r="B4" s="26" t="str">
        <x:v>Geometry</x:v>
      </x:c>
      <x:c r="C4" s="26" t="str">
        <x:v>Core side a</x:v>
      </x:c>
      <x:c r="D4" s="26" t="n">
        <x:v>0.025</x:v>
      </x:c>
      <x:c r="E4" s="26" t="str">
        <x:v>m</x:v>
      </x:c>
      <x:c r="F4" s="26" t="str">
        <x:v>Drawing MC-101 Rev B</x:v>
      </x:c>
      <x:c r="G4" s="26" t="str">
        <x:v>Effective</x:v>
      </x:c>
    </x:row>
    <x:row r="5">
      <x:c r="A5" s="26" t="str">
        <x:v>PAR-L</x:v>
      </x:c>
      <x:c r="B5" s="26" t="str">
        <x:v>Geometry</x:v>
      </x:c>
      <x:c r="C5" s="26" t="str">
        <x:v>Reference dimension l</x:v>
      </x:c>
      <x:c r="D5" s="26" t="n">
        <x:v>0.15</x:v>
      </x:c>
      <x:c r="E5" s="26" t="str">
        <x:v>m</x:v>
      </x:c>
      <x:c r="F5" s="26" t="str">
        <x:v>Drawing MC-101 Rev B</x:v>
      </x:c>
      <x:c r="G5" s="26" t="str">
        <x:v>Effective</x:v>
      </x:c>
    </x:row>
    <x:row r="6">
      <x:c r="A6" s="26" t="str">
        <x:v>PAR-GAP</x:v>
      </x:c>
      <x:c r="B6" s="26" t="str">
        <x:v>Geometry</x:v>
      </x:c>
      <x:c r="C6" s="26" t="str">
        <x:v>Nominal air gap delta</x:v>
      </x:c>
      <x:c r="D6" s="26" t="n">
        <x:v>0.0015</x:v>
      </x:c>
      <x:c r="E6" s="26" t="str">
        <x:v>m</x:v>
      </x:c>
      <x:c r="F6" s="26" t="str">
        <x:v>Drawing MC-101 Rev B</x:v>
      </x:c>
      <x:c r="G6" s="26" t="str">
        <x:v>Effective</x:v>
      </x:c>
    </x:row>
    <x:row r="7">
      <x:c r="A7" s="26" t="str">
        <x:v>PAR-GAP-ASBUILT</x:v>
      </x:c>
      <x:c r="B7" s="26" t="str">
        <x:v>Geometry</x:v>
      </x:c>
      <x:c r="C7" s="26" t="str">
        <x:v>Measured shim gap</x:v>
      </x:c>
      <x:c r="D7" s="26" t="n">
        <x:v>0.00158</x:v>
      </x:c>
      <x:c r="E7" s="26" t="str">
        <x:v>m</x:v>
      </x:c>
      <x:c r="F7" s="26" t="str">
        <x:v>Lab Metrology Note</x:v>
      </x:c>
      <x:c r="G7" s="26" t="str">
        <x:v>As-built test only</x:v>
      </x:c>
    </x:row>
    <x:row r="8">
      <x:c r="A8" s="26" t="str">
        <x:v>PAR-MUR-OLD</x:v>
      </x:c>
      <x:c r="B8" s="26" t="str">
        <x:v>Material</x:v>
      </x:c>
      <x:c r="C8" s="26" t="str">
        <x:v>Relative permeability</x:v>
      </x:c>
      <x:c r="D8" s="26" t="n">
        <x:v>1000</x:v>
      </x:c>
      <x:c r="E8" s="26" t="str">
        <x:v>1</x:v>
      </x:c>
      <x:c r="F8" s="26" t="str">
        <x:v>Core Datasheet Rev A</x:v>
      </x:c>
      <x:c r="G8" s="26" t="str">
        <x:v>Superseded</x:v>
      </x:c>
    </x:row>
    <x:row r="9">
      <x:c r="A9" s="26" t="str">
        <x:v>PAR-MUR</x:v>
      </x:c>
      <x:c r="B9" s="26" t="str">
        <x:v>Material</x:v>
      </x:c>
      <x:c r="C9" s="26" t="str">
        <x:v>Effective relative permeability</x:v>
      </x:c>
      <x:c r="D9" s="26" t="n">
        <x:v>1200</x:v>
      </x:c>
      <x:c r="E9" s="26" t="str">
        <x:v>1</x:v>
      </x:c>
      <x:c r="F9" s="26" t="str">
        <x:v>CR-MAG-004</x:v>
      </x:c>
      <x:c r="G9" s="26" t="str">
        <x:v>Effective</x:v>
      </x:c>
    </x:row>
    <x:row r="10">
      <x:c r="A10" s="26" t="str">
        <x:v>PAR-SIGMA-OLD</x:v>
      </x:c>
      <x:c r="B10" s="26" t="str">
        <x:v>Leakage</x:v>
      </x:c>
      <x:c r="C10" s="26" t="str">
        <x:v>Leakage coefficient sigma</x:v>
      </x:c>
      <x:c r="D10" s="26" t="n">
        <x:v>0.05</x:v>
      </x:c>
      <x:c r="E10" s="26" t="str">
        <x:v>1</x:v>
      </x:c>
      <x:c r="F10" s="26" t="str">
        <x:v>Legacy Model v1.0</x:v>
      </x:c>
      <x:c r="G10" s="26" t="str">
        <x:v>Superseded</x:v>
      </x:c>
    </x:row>
    <x:row r="11">
      <x:c r="A11" s="26" t="str">
        <x:v>PAR-SIGMA</x:v>
      </x:c>
      <x:c r="B11" s="26" t="str">
        <x:v>Leakage</x:v>
      </x:c>
      <x:c r="C11" s="26" t="str">
        <x:v>Leakage coefficient sigma</x:v>
      </x:c>
      <x:c r="D11" s="26" t="n">
        <x:v>0.08</x:v>
      </x:c>
      <x:c r="E11" s="26" t="str">
        <x:v>1</x:v>
      </x:c>
      <x:c r="F11" s="26" t="str">
        <x:v>CR-MAG-006</x:v>
      </x:c>
      <x:c r="G11" s="26" t="str">
        <x:v>Effective</x:v>
      </x:c>
    </x:row>
    <x:row r="12">
      <x:c r="A12" s="26" t="str">
        <x:v>PAR-NEXC</x:v>
      </x:c>
      <x:c r="B12" s="26" t="str">
        <x:v>Exciting coil</x:v>
      </x:c>
      <x:c r="C12" s="26" t="str">
        <x:v>Turns</x:v>
      </x:c>
      <x:c r="D12" s="26" t="n">
        <x:v>600</x:v>
      </x:c>
      <x:c r="E12" s="26" t="str">
        <x:v>turn</x:v>
      </x:c>
      <x:c r="F12" s="26" t="str">
        <x:v>Coil Data Rev B</x:v>
      </x:c>
      <x:c r="G12" s="26" t="str">
        <x:v>Effective</x:v>
      </x:c>
    </x:row>
    <x:row r="13">
      <x:c r="A13" s="26" t="str">
        <x:v>PAR-NMEAS-OLD</x:v>
      </x:c>
      <x:c r="B13" s="26" t="str">
        <x:v>Measuring coil</x:v>
      </x:c>
      <x:c r="C13" s="26" t="str">
        <x:v>Turns</x:v>
      </x:c>
      <x:c r="D13" s="26" t="n">
        <x:v>40</x:v>
      </x:c>
      <x:c r="E13" s="26" t="str">
        <x:v>turn</x:v>
      </x:c>
      <x:c r="F13" s="26" t="str">
        <x:v>Prototype Note</x:v>
      </x:c>
      <x:c r="G13" s="26" t="str">
        <x:v>Superseded</x:v>
      </x:c>
    </x:row>
    <x:row r="14">
      <x:c r="A14" s="26" t="str">
        <x:v>PAR-NMEAS</x:v>
      </x:c>
      <x:c r="B14" s="26" t="str">
        <x:v>Measuring coil</x:v>
      </x:c>
      <x:c r="C14" s="26" t="str">
        <x:v>Turns</x:v>
      </x:c>
      <x:c r="D14" s="26" t="n">
        <x:v>50</x:v>
      </x:c>
      <x:c r="E14" s="26" t="str">
        <x:v>turn</x:v>
      </x:c>
      <x:c r="F14" s="26" t="str">
        <x:v>Coil Data Rev B</x:v>
      </x:c>
      <x:c r="G14" s="26" t="str">
        <x:v>Effective</x:v>
      </x:c>
    </x:row>
    <x:row r="15">
      <x:c r="A15" s="26" t="str">
        <x:v>PAR-F</x:v>
      </x:c>
      <x:c r="B15" s="26" t="str">
        <x:v>Excitation</x:v>
      </x:c>
      <x:c r="C15" s="26" t="str">
        <x:v>Frequency</x:v>
      </x:c>
      <x:c r="D15" s="26" t="n">
        <x:v>50</x:v>
      </x:c>
      <x:c r="E15" s="26" t="str">
        <x:v>Hz</x:v>
      </x:c>
      <x:c r="F15" s="26" t="str">
        <x:v>Excitation Profile EP-03</x:v>
      </x:c>
      <x:c r="G15" s="26" t="str">
        <x:v>Effective</x:v>
      </x:c>
    </x:row>
    <x:row r="16">
      <x:c r="A16" s="26" t="str">
        <x:v>PAR-I</x:v>
      </x:c>
      <x:c r="B16" s="26" t="str">
        <x:v>Excitation</x:v>
      </x:c>
      <x:c r="C16" s="26" t="str">
        <x:v>Final RMS current magnitude</x:v>
      </x:c>
      <x:c r="D16" s="26" t="n">
        <x:v>2</x:v>
      </x:c>
      <x:c r="E16" s="26" t="str">
        <x:v>A</x:v>
      </x:c>
      <x:c r="F16" s="26" t="str">
        <x:v>Excitation Profile EP-03</x:v>
      </x:c>
      <x:c r="G16" s="26" t="str">
        <x:v>Effective</x:v>
      </x:c>
    </x:row>
    <x:row r="17">
      <x:c r="A17" s="26" t="str">
        <x:v>PAR-T0</x:v>
      </x:c>
      <x:c r="B17" s="26" t="str">
        <x:v>Excitation</x:v>
      </x:c>
      <x:c r="C17" s="26" t="str">
        <x:v>Ramp start</x:v>
      </x:c>
      <x:c r="D17" s="26" t="n">
        <x:v>0.1</x:v>
      </x:c>
      <x:c r="E17" s="26" t="str">
        <x:v>s</x:v>
      </x:c>
      <x:c r="F17" s="26" t="str">
        <x:v>Excitation Profile EP-03</x:v>
      </x:c>
      <x:c r="G17" s="26" t="str">
        <x:v>Effective</x:v>
      </x:c>
    </x:row>
    <x:row r="18">
      <x:c r="A18" s="26" t="str">
        <x:v>PAR-T1</x:v>
      </x:c>
      <x:c r="B18" s="26" t="str">
        <x:v>Excitation</x:v>
      </x:c>
      <x:c r="C18" s="26" t="str">
        <x:v>Ramp end</x:v>
      </x:c>
      <x:c r="D18" s="26" t="n">
        <x:v>0.5</x:v>
      </x:c>
      <x:c r="E18" s="26" t="str">
        <x:v>s</x:v>
      </x:c>
      <x:c r="F18" s="26" t="str">
        <x:v>Excitation Profile EP-03</x:v>
      </x:c>
      <x:c r="G18" s="26" t="str">
        <x:v>Effective</x:v>
      </x:c>
    </x:row>
    <x:row r="19">
      <x:c r="A19" s="26" t="str">
        <x:v>PAR-STOP</x:v>
      </x:c>
      <x:c r="B19" s="26" t="str">
        <x:v>Simulation</x:v>
      </x:c>
      <x:c r="C19" s="26" t="str">
        <x:v>Stop time</x:v>
      </x:c>
      <x:c r="D19" s="26" t="n">
        <x:v>1</x:v>
      </x:c>
      <x:c r="E19" s="26" t="str">
        <x:v>s</x:v>
      </x:c>
      <x:c r="F19" s="26" t="str">
        <x:v>Analytic Verification AV-11</x:v>
      </x:c>
      <x:c r="G19" s="26" t="str">
        <x:v>Effective</x:v>
      </x:c>
    </x:row>
  </x:sheetData>
  <x:mergeCells>
    <x:mergeCell ref="A1:G1"/>
  </x:mergeCells>
  <x:conditionalFormatting sqref="G4:G19">
    <x:cfRule type="expression" dxfId="0" priority="1">
      <x:formula>G4="Superseded"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64223ae61a49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0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44" hidden="0" customWidth="1"/>
  </x:cols>
  <x:sheetData>
    <x:row r="1">
      <x:c r="A1" s="4" t="str">
        <x:v>Magnetic Flux-Tube Element Register</x:v>
      </x:c>
      <x:c r="B1" s="4"/>
      <x:c r="C1" s="4"/>
      <x:c r="D1" s="4"/>
      <x:c r="E1" s="4"/>
      <x:c r="F1" s="4"/>
      <x:c r="G1" s="4"/>
      <x:c r="H1" s="4"/>
    </x:row>
    <x:row r="3">
      <x:c r="A3" s="20" t="str">
        <x:v>Element ID</x:v>
      </x:c>
      <x:c r="B3" s="20" t="str">
        <x:v>Name</x:v>
      </x:c>
      <x:c r="C3" s="20" t="str">
        <x:v>Model Class</x:v>
      </x:c>
      <x:c r="D3" s="20" t="str">
        <x:v>Material/Role</x:v>
      </x:c>
      <x:c r="E3" s="20" t="str">
        <x:v>Area (m^2)</x:v>
      </x:c>
      <x:c r="F3" s="20" t="str">
        <x:v>Length (m)</x:v>
      </x:c>
      <x:c r="G3" s="20" t="str">
        <x:v>mu_r</x:v>
      </x:c>
      <x:c r="H3" s="20" t="str">
        <x:v>Notes</x:v>
      </x:c>
    </x:row>
    <x:row r="4">
      <x:c r="A4" s="26" t="str">
        <x:v>CORE-L</x:v>
      </x:c>
      <x:c r="B4" s="26" t="str">
        <x:v>Left leg</x:v>
      </x:c>
      <x:c r="C4" s="26" t="str">
        <x:v>FixedShape.GenericFluxTube</x:v>
      </x:c>
      <x:c r="D4" s="26" t="str">
        <x:v>Iron core</x:v>
      </x:c>
      <x:c r="E4" s="26" t="n">
        <x:v>0.0006250000000000001</x:v>
      </x:c>
      <x:c r="F4" s="26" t="n">
        <x:v>0.125</x:v>
      </x:c>
      <x:c r="G4" s="26" t="n">
        <x:v>1200</x:v>
      </x:c>
      <x:c r="H4" s="26" t="str">
        <x:v>Carries total core flux</x:v>
      </x:c>
    </x:row>
    <x:row r="5">
      <x:c r="A5" s="26" t="str">
        <x:v>CORE-U</x:v>
      </x:c>
      <x:c r="B5" s="26" t="str">
        <x:v>Upper yoke</x:v>
      </x:c>
      <x:c r="C5" s="26" t="str">
        <x:v>FixedShape.GenericFluxTube</x:v>
      </x:c>
      <x:c r="D5" s="26" t="str">
        <x:v>Iron core</x:v>
      </x:c>
      <x:c r="E5" s="26" t="n">
        <x:v>0.0006250000000000001</x:v>
      </x:c>
      <x:c r="F5" s="26" t="n">
        <x:v>0.125</x:v>
      </x:c>
      <x:c r="G5" s="26" t="n">
        <x:v>1200</x:v>
      </x:c>
      <x:c r="H5" s="26" t="str">
        <x:v>Carries total core flux</x:v>
      </x:c>
    </x:row>
    <x:row r="6">
      <x:c r="A6" s="26" t="str">
        <x:v>CORE-R</x:v>
      </x:c>
      <x:c r="B6" s="26" t="str">
        <x:v>Right leg</x:v>
      </x:c>
      <x:c r="C6" s="26" t="str">
        <x:v>FixedShape.GenericFluxTube</x:v>
      </x:c>
      <x:c r="D6" s="26" t="str">
        <x:v>Iron core</x:v>
      </x:c>
      <x:c r="E6" s="26" t="n">
        <x:v>0.0006250000000000001</x:v>
      </x:c>
      <x:c r="F6" s="26" t="n">
        <x:v>0.1235</x:v>
      </x:c>
      <x:c r="G6" s="26" t="n">
        <x:v>1200</x:v>
      </x:c>
      <x:c r="H6" s="26" t="str">
        <x:v>Carries total core flux; gap excluded from length</x:v>
      </x:c>
    </x:row>
    <x:row r="7">
      <x:c r="A7" s="26" t="str">
        <x:v>GAP-1</x:v>
      </x:c>
      <x:c r="B7" s="26" t="str">
        <x:v>Air gap</x:v>
      </x:c>
      <x:c r="C7" s="26" t="str">
        <x:v>FixedShape.GenericFluxTube</x:v>
      </x:c>
      <x:c r="D7" s="26" t="str">
        <x:v>Air</x:v>
      </x:c>
      <x:c r="E7" s="26" t="n">
        <x:v>0.0006250000000000001</x:v>
      </x:c>
      <x:c r="F7" s="26" t="n">
        <x:v>0.0015</x:v>
      </x:c>
      <x:c r="G7" s="26" t="n">
        <x:v>1</x:v>
      </x:c>
      <x:c r="H7" s="26" t="str">
        <x:v>Carries useful flux</x:v>
      </x:c>
    </x:row>
    <x:row r="8">
      <x:c r="A8" s="26" t="str">
        <x:v>CORE-D</x:v>
      </x:c>
      <x:c r="B8" s="26" t="str">
        <x:v>Lower yoke</x:v>
      </x:c>
      <x:c r="C8" s="26" t="str">
        <x:v>FixedShape.GenericFluxTube</x:v>
      </x:c>
      <x:c r="D8" s="26" t="str">
        <x:v>Iron core</x:v>
      </x:c>
      <x:c r="E8" s="26" t="n">
        <x:v>0.0006250000000000001</x:v>
      </x:c>
      <x:c r="F8" s="26" t="n">
        <x:v>0.125</x:v>
      </x:c>
      <x:c r="G8" s="26" t="n">
        <x:v>1200</x:v>
      </x:c>
      <x:c r="H8" s="26" t="str">
        <x:v>Carries total core flux</x:v>
      </x:c>
    </x:row>
    <x:row r="9">
      <x:c r="A9" s="26" t="str">
        <x:v>LEAK-1</x:v>
      </x:c>
      <x:c r="B9" s="26" t="str">
        <x:v>Leakage path</x:v>
      </x:c>
      <x:c r="C9" s="26" t="str">
        <x:v>LeakageWithCoefficient</x:v>
      </x:c>
      <x:c r="D9" s="26" t="str">
        <x:v>Air equivalent</x:v>
      </x:c>
      <x:c r="E9" s="26" t="str"/>
      <x:c r="F9" s="26" t="str"/>
      <x:c r="G9" s="26" t="str"/>
      <x:c r="H9" s="26" t="str">
        <x:v>Parallel with GAP-1; useful/core flux ratio = 1-sigma = 0.92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6a167afd44842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0" hidden="0" customWidth="1"/>
    <x:col min="5" max="5" width="24" hidden="0" customWidth="1"/>
    <x:col min="6" max="6" width="24" hidden="0" customWidth="1"/>
    <x:col min="7" max="7" width="48" hidden="0" customWidth="1"/>
  </x:cols>
  <x:sheetData>
    <x:row r="1">
      <x:c r="A1" s="4" t="str">
        <x:v>Electrical and Magnetic Interface Matrix</x:v>
      </x:c>
      <x:c r="B1" s="4"/>
      <x:c r="C1" s="4"/>
      <x:c r="D1" s="4"/>
      <x:c r="E1" s="4"/>
      <x:c r="F1" s="4"/>
      <x:c r="G1" s="4"/>
    </x:row>
    <x:row r="3">
      <x:c r="A3" s="20" t="str">
        <x:v>Interface ID</x:v>
      </x:c>
      <x:c r="B3" s="20" t="str">
        <x:v>From</x:v>
      </x:c>
      <x:c r="C3" s="20" t="str">
        <x:v>From Port/Quantity</x:v>
      </x:c>
      <x:c r="D3" s="20" t="str">
        <x:v>To</x:v>
      </x:c>
      <x:c r="E3" s="20" t="str">
        <x:v>To Port/Quantity</x:v>
      </x:c>
      <x:c r="F3" s="20" t="str">
        <x:v>Item/Quantity</x:v>
      </x:c>
      <x:c r="G3" s="20" t="str">
        <x:v>Rule</x:v>
      </x:c>
    </x:row>
    <x:row r="4">
      <x:c r="A4" s="26" t="str">
        <x:v>IF-EL-01</x:v>
      </x:c>
      <x:c r="B4" s="26" t="str">
        <x:v>CurrentRamp</x:v>
      </x:c>
      <x:c r="C4" s="26" t="str">
        <x:v>i_ref</x:v>
      </x:c>
      <x:c r="D4" s="26" t="str">
        <x:v>ExcitingCoil</x:v>
      </x:c>
      <x:c r="E4" s="26" t="str">
        <x:v>electric current</x:v>
      </x:c>
      <x:c r="F4" s="26" t="str">
        <x:v>Complex current phasor</x:v>
      </x:c>
      <x:c r="G4" s="26" t="str">
        <x:v>Positive current creates positive mmf</x:v>
      </x:c>
    </x:row>
    <x:row r="5">
      <x:c r="A5" s="26" t="str">
        <x:v>IF-EL-02</x:v>
      </x:c>
      <x:c r="B5" s="26" t="str">
        <x:v>ExcitingCoil</x:v>
      </x:c>
      <x:c r="C5" s="26" t="str">
        <x:v>pin_p/pin_n</x:v>
      </x:c>
      <x:c r="D5" s="26" t="str">
        <x:v>ElectricGround</x:v>
      </x:c>
      <x:c r="E5" s="26" t="str">
        <x:v>reference</x:v>
      </x:c>
      <x:c r="F5" s="26" t="str">
        <x:v>Electric potential</x:v>
      </x:c>
      <x:c r="G5" s="26" t="str">
        <x:v>Ground defines zero electric potential</x:v>
      </x:c>
    </x:row>
    <x:row r="6">
      <x:c r="A6" s="26" t="str">
        <x:v>IF-MAG-01</x:v>
      </x:c>
      <x:c r="B6" s="26" t="str">
        <x:v>ExcitingCoil</x:v>
      </x:c>
      <x:c r="C6" s="26" t="str">
        <x:v>magnetic ports</x:v>
      </x:c>
      <x:c r="D6" s="26" t="str">
        <x:v>CORE-L</x:v>
      </x:c>
      <x:c r="E6" s="26" t="str">
        <x:v>magnetic port</x:v>
      </x:c>
      <x:c r="F6" s="26" t="str">
        <x:v>Phi / Vm</x:v>
      </x:c>
      <x:c r="G6" s="26" t="str">
        <x:v>Electromagnetic conversion N*I</x:v>
      </x:c>
    </x:row>
    <x:row r="7">
      <x:c r="A7" s="26" t="str">
        <x:v>IF-MAG-02</x:v>
      </x:c>
      <x:c r="B7" s="26" t="str">
        <x:v>CORE-L</x:v>
      </x:c>
      <x:c r="C7" s="26" t="str">
        <x:v>port_n</x:v>
      </x:c>
      <x:c r="D7" s="26" t="str">
        <x:v>CORE-U</x:v>
      </x:c>
      <x:c r="E7" s="26" t="str">
        <x:v>port_p</x:v>
      </x:c>
      <x:c r="F7" s="26" t="str">
        <x:v>Phi / Vm</x:v>
      </x:c>
      <x:c r="G7" s="26" t="str">
        <x:v>Series core path</x:v>
      </x:c>
    </x:row>
    <x:row r="8">
      <x:c r="A8" s="26" t="str">
        <x:v>IF-MAG-03</x:v>
      </x:c>
      <x:c r="B8" s="26" t="str">
        <x:v>CORE-U</x:v>
      </x:c>
      <x:c r="C8" s="26" t="str">
        <x:v>port_n</x:v>
      </x:c>
      <x:c r="D8" s="26" t="str">
        <x:v>CORE-R</x:v>
      </x:c>
      <x:c r="E8" s="26" t="str">
        <x:v>port_p</x:v>
      </x:c>
      <x:c r="F8" s="26" t="str">
        <x:v>Phi / Vm</x:v>
      </x:c>
      <x:c r="G8" s="26" t="str">
        <x:v>Series core path</x:v>
      </x:c>
    </x:row>
    <x:row r="9">
      <x:c r="A9" s="26" t="str">
        <x:v>IF-MAG-04</x:v>
      </x:c>
      <x:c r="B9" s="26" t="str">
        <x:v>CORE-R</x:v>
      </x:c>
      <x:c r="C9" s="26" t="str">
        <x:v>branch node</x:v>
      </x:c>
      <x:c r="D9" s="26" t="str">
        <x:v>GAP-1</x:v>
      </x:c>
      <x:c r="E9" s="26" t="str">
        <x:v>port_p</x:v>
      </x:c>
      <x:c r="F9" s="26" t="str">
        <x:v>Phi / Vm</x:v>
      </x:c>
      <x:c r="G9" s="26" t="str">
        <x:v>Useful branch</x:v>
      </x:c>
    </x:row>
    <x:row r="10">
      <x:c r="A10" s="26" t="str">
        <x:v>IF-MAG-05</x:v>
      </x:c>
      <x:c r="B10" s="26" t="str">
        <x:v>CORE-R</x:v>
      </x:c>
      <x:c r="C10" s="26" t="str">
        <x:v>branch node</x:v>
      </x:c>
      <x:c r="D10" s="26" t="str">
        <x:v>LEAK-1</x:v>
      </x:c>
      <x:c r="E10" s="26" t="str">
        <x:v>port_p</x:v>
      </x:c>
      <x:c r="F10" s="26" t="str">
        <x:v>Phi / Vm</x:v>
      </x:c>
      <x:c r="G10" s="26" t="str">
        <x:v>Leakage branch</x:v>
      </x:c>
    </x:row>
    <x:row r="11">
      <x:c r="A11" s="26" t="str">
        <x:v>IF-MAG-06</x:v>
      </x:c>
      <x:c r="B11" s="26" t="str">
        <x:v>GAP-1</x:v>
      </x:c>
      <x:c r="C11" s="26" t="str">
        <x:v>port_n</x:v>
      </x:c>
      <x:c r="D11" s="26" t="str">
        <x:v>CORE-D</x:v>
      </x:c>
      <x:c r="E11" s="26" t="str">
        <x:v>port_p</x:v>
      </x:c>
      <x:c r="F11" s="26" t="str">
        <x:v>Phi / Vm</x:v>
      </x:c>
      <x:c r="G11" s="26" t="str">
        <x:v>Useful branch rejoin</x:v>
      </x:c>
    </x:row>
    <x:row r="12">
      <x:c r="A12" s="26" t="str">
        <x:v>IF-MAG-07</x:v>
      </x:c>
      <x:c r="B12" s="26" t="str">
        <x:v>LEAK-1</x:v>
      </x:c>
      <x:c r="C12" s="26" t="str">
        <x:v>port_n</x:v>
      </x:c>
      <x:c r="D12" s="26" t="str">
        <x:v>CORE-D</x:v>
      </x:c>
      <x:c r="E12" s="26" t="str">
        <x:v>port_p</x:v>
      </x:c>
      <x:c r="F12" s="26" t="str">
        <x:v>Phi / Vm</x:v>
      </x:c>
      <x:c r="G12" s="26" t="str">
        <x:v>Leakage branch rejoin</x:v>
      </x:c>
    </x:row>
    <x:row r="13">
      <x:c r="A13" s="26" t="str">
        <x:v>IF-MAG-08</x:v>
      </x:c>
      <x:c r="B13" s="26" t="str">
        <x:v>CORE-D</x:v>
      </x:c>
      <x:c r="C13" s="26" t="str">
        <x:v>port_n</x:v>
      </x:c>
      <x:c r="D13" s="26" t="str">
        <x:v>MagneticGround</x:v>
      </x:c>
      <x:c r="E13" s="26" t="str">
        <x:v>reference</x:v>
      </x:c>
      <x:c r="F13" s="26" t="str">
        <x:v>Magnetic scalar potential</x:v>
      </x:c>
      <x:c r="G13" s="26" t="str">
        <x:v>Zero magnetic potential</x:v>
      </x:c>
    </x:row>
    <x:row r="14">
      <x:c r="A14" s="26" t="str">
        <x:v>IF-SEN-01</x:v>
      </x:c>
      <x:c r="B14" s="26" t="str">
        <x:v>GAP-1</x:v>
      </x:c>
      <x:c r="C14" s="26" t="str">
        <x:v>useful flux</x:v>
      </x:c>
      <x:c r="D14" s="26" t="str">
        <x:v>FluxSensor</x:v>
      </x:c>
      <x:c r="E14" s="26" t="str">
        <x:v>Phi_gap</x:v>
      </x:c>
      <x:c r="F14" s="26" t="str">
        <x:v>Complex magnetic flux</x:v>
      </x:c>
      <x:c r="G14" s="26" t="str">
        <x:v>Arrow direction defines positive sign</x:v>
      </x:c>
    </x:row>
    <x:row r="15">
      <x:c r="A15" s="26" t="str">
        <x:v>IF-IND-01</x:v>
      </x:c>
      <x:c r="B15" s="26" t="str">
        <x:v>GAP-1</x:v>
      </x:c>
      <x:c r="C15" s="26" t="str">
        <x:v>Phi_gap</x:v>
      </x:c>
      <x:c r="D15" s="26" t="str">
        <x:v>MeasuringCoil</x:v>
      </x:c>
      <x:c r="E15" s="26" t="str">
        <x:v>magnetic coupling</x:v>
      </x:c>
      <x:c r="F15" s="26" t="str">
        <x:v>Induced voltage</x:v>
      </x:c>
      <x:c r="G15" s="26" t="str">
        <x:v>Negative electric orientation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028e2c7a9a945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6" hidden="0" customWidth="1"/>
    <x:col min="5" max="5" width="60" hidden="0" customWidth="1"/>
    <x:col min="6" max="6" width="42" hidden="0" customWidth="1"/>
  </x:cols>
  <x:sheetData>
    <x:row r="1">
      <x:c r="A1" s="4" t="str">
        <x:v>Engineering Change and Decision History</x:v>
      </x:c>
      <x:c r="B1" s="4"/>
      <x:c r="C1" s="4"/>
      <x:c r="D1" s="4"/>
      <x:c r="E1" s="4"/>
      <x:c r="F1" s="4"/>
    </x:row>
    <x:row r="3">
      <x:c r="A3" s="20" t="str">
        <x:v>Date</x:v>
      </x:c>
      <x:c r="B3" s="20" t="str">
        <x:v>Record</x:v>
      </x:c>
      <x:c r="C3" s="20" t="str">
        <x:v>Revision</x:v>
      </x:c>
      <x:c r="D3" s="20" t="str">
        <x:v>Status</x:v>
      </x:c>
      <x:c r="E3" s="20" t="str">
        <x:v>Summary</x:v>
      </x:c>
      <x:c r="F3" s="20" t="str">
        <x:v>Precedence Note</x:v>
      </x:c>
    </x:row>
    <x:row r="4">
      <x:c r="A4" s="26" t="str">
        <x:v>2026-01-08</x:v>
      </x:c>
      <x:c r="B4" s="26" t="str">
        <x:v>Core Datasheet</x:v>
      </x:c>
      <x:c r="C4" s="26" t="str">
        <x:v>A</x:v>
      </x:c>
      <x:c r="D4" s="26" t="str">
        <x:v>Released</x:v>
      </x:c>
      <x:c r="E4" s="26" t="str">
        <x:v>Initial linear benchmark used mu_r=1000.</x:v>
      </x:c>
      <x:c r="F4" s="26" t="str">
        <x:v>Superseded parameter</x:v>
      </x:c>
    </x:row>
    <x:row r="5">
      <x:c r="A5" s="26" t="str">
        <x:v>2026-01-16</x:v>
      </x:c>
      <x:c r="B5" s="26" t="str">
        <x:v>Prototype Note</x:v>
      </x:c>
      <x:c r="C5" s="26" t="str">
        <x:v>0.3</x:v>
      </x:c>
      <x:c r="D5" s="26" t="str">
        <x:v>Draft</x:v>
      </x:c>
      <x:c r="E5" s="26" t="str">
        <x:v>Measuring coil documented as 40 turns.</x:v>
      </x:c>
      <x:c r="F5" s="26" t="str">
        <x:v>Superseded</x:v>
      </x:c>
    </x:row>
    <x:row r="6">
      <x:c r="A6" s="26" t="str">
        <x:v>2026-01-22</x:v>
      </x:c>
      <x:c r="B6" s="26" t="str">
        <x:v>Legacy Model</x:v>
      </x:c>
      <x:c r="C6" s="26" t="str">
        <x:v>1.0</x:v>
      </x:c>
      <x:c r="D6" s="26" t="str">
        <x:v>Released</x:v>
      </x:c>
      <x:c r="E6" s="26" t="str">
        <x:v>Leakage coefficient sigma=0.05; 40-turn measuring coil.</x:v>
      </x:c>
      <x:c r="F6" s="26" t="str">
        <x:v>Superseded by approved changes</x:v>
      </x:c>
    </x:row>
    <x:row r="7">
      <x:c r="A7" s="26" t="str">
        <x:v>2026-02-03</x:v>
      </x:c>
      <x:c r="B7" s="26" t="str">
        <x:v>Drawing MC-101</x:v>
      </x:c>
      <x:c r="C7" s="26" t="str">
        <x:v>B</x:v>
      </x:c>
      <x:c r="D7" s="26" t="str">
        <x:v>Released</x:v>
      </x:c>
      <x:c r="E7" s="26" t="str">
        <x:v>a=25 mm, l=150 mm, nominal gap=1.50 mm.</x:v>
      </x:c>
      <x:c r="F7" s="26" t="str">
        <x:v>Geometry authority</x:v>
      </x:c>
    </x:row>
    <x:row r="8">
      <x:c r="A8" s="26" t="str">
        <x:v>2026-02-12</x:v>
      </x:c>
      <x:c r="B8" s="26" t="str">
        <x:v>CR-MAG-004</x:v>
      </x:c>
      <x:c r="C8" s="26" t="str">
        <x:v>1</x:v>
      </x:c>
      <x:c r="D8" s="26" t="str">
        <x:v>Approved</x:v>
      </x:c>
      <x:c r="E8" s="26" t="str">
        <x:v>Effective linear mu_r changed from 1000 to 1200 to match reference material batch.</x:v>
      </x:c>
      <x:c r="F8" s="26" t="str">
        <x:v>Overrides Core Datasheet A for benchmark</x:v>
      </x:c>
    </x:row>
    <x:row r="9">
      <x:c r="A9" s="26" t="str">
        <x:v>2026-02-18</x:v>
      </x:c>
      <x:c r="B9" s="26" t="str">
        <x:v>Coil Data</x:v>
      </x:c>
      <x:c r="C9" s="26" t="str">
        <x:v>B</x:v>
      </x:c>
      <x:c r="D9" s="26" t="str">
        <x:v>Released</x:v>
      </x:c>
      <x:c r="E9" s="26" t="str">
        <x:v>Exciting coil=600 turns; measuring coil=50 turns; polarity dots frozen.</x:v>
      </x:c>
      <x:c r="F9" s="26" t="str">
        <x:v>Current</x:v>
      </x:c>
    </x:row>
    <x:row r="10">
      <x:c r="A10" s="26" t="str">
        <x:v>2026-02-26</x:v>
      </x:c>
      <x:c r="B10" s="26" t="str">
        <x:v>CR-MAG-006</x:v>
      </x:c>
      <x:c r="C10" s="26" t="str">
        <x:v>1</x:v>
      </x:c>
      <x:c r="D10" s="26" t="str">
        <x:v>Approved</x:v>
      </x:c>
      <x:c r="E10" s="26" t="str">
        <x:v>Leakage coefficient revised from 0.05 to 0.08 after calibration fit.</x:v>
      </x:c>
      <x:c r="F10" s="26" t="str">
        <x:v>Overrides Legacy Model</x:v>
      </x:c>
    </x:row>
    <x:row r="11">
      <x:c r="A11" s="26" t="str">
        <x:v>2026-03-04</x:v>
      </x:c>
      <x:c r="B11" s="26" t="str">
        <x:v>Lab Metrology Note</x:v>
      </x:c>
      <x:c r="C11" s="26" t="str">
        <x:v>1</x:v>
      </x:c>
      <x:c r="D11" s="26" t="str">
        <x:v>Recorded as-built shim gap 1.58 mm for prototype MCB-02.</x:v>
      </x:c>
      <x:c r="E11" s="26" t="str">
        <x:v>Test configuration only; nominal model remains 1.50 mm</x:v>
      </x:c>
      <x:c r="F11" s="26"/>
    </x:row>
    <x:row r="12">
      <x:c r="A12" s="26" t="str">
        <x:v>2026-03-12</x:v>
      </x:c>
      <x:c r="B12" s="26" t="str">
        <x:v>QS Modeling Standard</x:v>
      </x:c>
      <x:c r="C12" s="26" t="str">
        <x:v>C</x:v>
      </x:c>
      <x:c r="D12" s="26" t="str">
        <x:v>Approved</x:v>
      </x:c>
      <x:c r="E12" s="26" t="str">
        <x:v>RMS phasor convention, grounds, induction sign and real reluctance clarified.</x:v>
      </x:c>
      <x:c r="F12" s="26" t="str">
        <x:v>Current</x:v>
      </x:c>
    </x:row>
    <x:row r="13">
      <x:c r="A13" s="26" t="str">
        <x:v>2026-03-20</x:v>
      </x:c>
      <x:c r="B13" s="26" t="str">
        <x:v>AV-11</x:v>
      </x:c>
      <x:c r="C13" s="26" t="str">
        <x:v>B</x:v>
      </x:c>
      <x:c r="D13" s="26" t="str">
        <x:v>Released</x:v>
      </x:c>
      <x:c r="E13" s="26" t="str">
        <x:v>Analytic verification at 2 A and 50 Hz defined.</x:v>
      </x:c>
      <x:c r="F13" s="26" t="str">
        <x:v>Verification authority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41b12c0c82545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22" hidden="0" customWidth="1"/>
    <x:col min="4" max="4" width="16" hidden="0" customWidth="1"/>
    <x:col min="5" max="5" width="14" hidden="0" customWidth="1"/>
    <x:col min="6" max="6" width="46" hidden="0" customWidth="1"/>
    <x:col min="7" max="7" width="48" hidden="0" customWidth="1"/>
  </x:cols>
  <x:sheetData>
    <x:row r="1">
      <x:c r="A1" s="4" t="str">
        <x:v>Participant Evidence Index</x:v>
      </x:c>
      <x:c r="B1" s="4"/>
      <x:c r="C1" s="4"/>
      <x:c r="D1" s="4"/>
      <x:c r="E1" s="4"/>
      <x:c r="F1" s="4"/>
      <x:c r="G1" s="4"/>
    </x:row>
    <x:row r="3">
      <x:c r="A3" s="20" t="str">
        <x:v>Source ID</x:v>
      </x:c>
      <x:c r="B3" s="20" t="str">
        <x:v>Filename</x:v>
      </x:c>
      <x:c r="C3" s="20" t="str">
        <x:v>Type</x:v>
      </x:c>
      <x:c r="D3" s="20" t="str">
        <x:v>Revision</x:v>
      </x:c>
      <x:c r="E3" s="20" t="str">
        <x:v>Reliability</x:v>
      </x:c>
      <x:c r="F3" s="20" t="str">
        <x:v>Contains</x:v>
      </x:c>
      <x:c r="G3" s="20" t="str">
        <x:v>Known Caveat</x:v>
      </x:c>
    </x:row>
    <x:row r="4">
      <x:c r="A4" s="26" t="str">
        <x:v>SRC-01</x:v>
      </x:c>
      <x:c r="B4" s="26" t="str">
        <x:v>01_system_requirement_specification.pdf</x:v>
      </x:c>
      <x:c r="C4" s="26" t="str">
        <x:v>PDF specification</x:v>
      </x:c>
      <x:c r="D4" s="26" t="str">
        <x:v>Rev A</x:v>
      </x:c>
      <x:c r="E4" s="26" t="str">
        <x:v>High</x:v>
      </x:c>
      <x:c r="F4" s="26" t="str">
        <x:v>System intent, equations, assumptions</x:v>
      </x:c>
      <x:c r="G4" s="26" t="str">
        <x:v>Does not include later mu_r/sigma changes.</x:v>
      </x:c>
    </x:row>
    <x:row r="5">
      <x:c r="A5" s="26" t="str">
        <x:v>SRC-02</x:v>
      </x:c>
      <x:c r="B5" s="26" t="str">
        <x:v>02_magnetic_engineering_register.xlsx</x:v>
      </x:c>
      <x:c r="C5" s="26" t="str">
        <x:v>Excel workbook</x:v>
      </x:c>
      <x:c r="D5" s="26" t="str">
        <x:v>Compiled</x:v>
      </x:c>
      <x:c r="E5" s="26" t="str">
        <x:v>High</x:v>
      </x:c>
      <x:c r="F5" s="26" t="str">
        <x:v>Requirements, parameters, elements, interfaces, analytic calculations, changes</x:v>
      </x:c>
      <x:c r="G5" s="26" t="str">
        <x:v>Contains both effective and superseded records.</x:v>
      </x:c>
    </x:row>
    <x:row r="6">
      <x:c r="A6" s="26" t="str">
        <x:v>SRC-03</x:v>
      </x:c>
      <x:c r="B6" s="26" t="str">
        <x:v>03_reference_magnetic_circuit.png</x:v>
      </x:c>
      <x:c r="C6" s="26" t="str">
        <x:v>Engineering diagram</x:v>
      </x:c>
      <x:c r="D6" s="26" t="str">
        <x:v>Reference</x:v>
      </x:c>
      <x:c r="E6" s="26" t="str">
        <x:v>High</x:v>
      </x:c>
      <x:c r="F6" s="26" t="str">
        <x:v>Geometry, flux direction, air gap, coil/yoke arrangement</x:v>
      </x:c>
      <x:c r="G6" s="26" t="str">
        <x:v>Dimensions are symbolic; numeric values are in drawing/register.</x:v>
      </x:c>
    </x:row>
    <x:row r="7">
      <x:c r="A7" s="26" t="str">
        <x:v>SRC-04</x:v>
      </x:c>
      <x:c r="B7" s="26" t="str">
        <x:v>04_model_definition_notes.docx</x:v>
      </x:c>
      <x:c r="C7" s="26" t="str">
        <x:v>Word design note</x:v>
      </x:c>
      <x:c r="D7" s="26" t="str">
        <x:v>Rev C</x:v>
      </x:c>
      <x:c r="E7" s="26" t="str">
        <x:v>High</x:v>
      </x:c>
      <x:c r="F7" s="26" t="str">
        <x:v>Quasi-static phasors, reluctance network, induction orientation</x:v>
      </x:c>
      <x:c r="G7" s="26" t="str">
        <x:v>Uses Modelica-oriented terminology.</x:v>
      </x:c>
    </x:row>
    <x:row r="8">
      <x:c r="A8" s="26" t="str">
        <x:v>SRC-05</x:v>
      </x:c>
      <x:c r="B8" s="26" t="str">
        <x:v>05_magnetics_email_thread.eml</x:v>
      </x:c>
      <x:c r="C8" s="26" t="str">
        <x:v>Email thread</x:v>
      </x:c>
      <x:c r="D8" s="26" t="str">
        <x:v>Various</x:v>
      </x:c>
      <x:c r="E8" s="26" t="str">
        <x:v>Medium</x:v>
      </x:c>
      <x:c r="F8" s="26" t="str">
        <x:v>Permeability/leakage/gap clarification</x:v>
      </x:c>
      <x:c r="G8" s="26" t="str">
        <x:v>Informal and includes prototype values.</x:v>
      </x:c>
    </x:row>
    <x:row r="9">
      <x:c r="A9" s="26" t="str">
        <x:v>SRC-06</x:v>
      </x:c>
      <x:c r="B9" s="26" t="str">
        <x:v>06_design_review_minutes.md</x:v>
      </x:c>
      <x:c r="C9" s="26" t="str">
        <x:v>Meeting notes</x:v>
      </x:c>
      <x:c r="D9" s="26" t="str">
        <x:v>Final</x:v>
      </x:c>
      <x:c r="E9" s="26" t="str">
        <x:v>High</x:v>
      </x:c>
      <x:c r="F9" s="26" t="str">
        <x:v>Approved modeling decisions and test configuration distinction</x:v>
      </x:c>
      <x:c r="G9" s="26" t="str">
        <x:v>References change records.</x:v>
      </x:c>
    </x:row>
    <x:row r="10">
      <x:c r="A10" s="26" t="str">
        <x:v>SRC-07</x:v>
      </x:c>
      <x:c r="B10" s="26" t="str">
        <x:v>07_legacy_magnetic_circuit.mo</x:v>
      </x:c>
      <x:c r="C10" s="26" t="str">
        <x:v>Modelica model</x:v>
      </x:c>
      <x:c r="D10" s="26" t="str">
        <x:v>v1.0</x:v>
      </x:c>
      <x:c r="E10" s="26" t="str">
        <x:v>Medium</x:v>
      </x:c>
      <x:c r="F10" s="26" t="str">
        <x:v>Existing simulation topology</x:v>
      </x:c>
      <x:c r="G10" s="26" t="str">
        <x:v>Stale sigma, mu_r and measuring-coil turns.</x:v>
      </x:c>
    </x:row>
    <x:row r="11">
      <x:c r="A11" s="26" t="str">
        <x:v>SRC-08</x:v>
      </x:c>
      <x:c r="B11" s="26" t="str">
        <x:v>08_core_coil_datasheet.pdf</x:v>
      </x:c>
      <x:c r="C11" s="26" t="str">
        <x:v>Datasheet</x:v>
      </x:c>
      <x:c r="D11" s="26" t="str">
        <x:v>Rev B</x:v>
      </x:c>
      <x:c r="E11" s="26" t="str">
        <x:v>High</x:v>
      </x:c>
      <x:c r="F11" s="26" t="str">
        <x:v>Core/coil/electrical properties and polarities</x:v>
      </x:c>
      <x:c r="G11" s="26" t="str">
        <x:v>Material batch note supersedes older catalog mu_r.</x:v>
      </x:c>
    </x:row>
    <x:row r="12">
      <x:c r="A12" s="26" t="str">
        <x:v>SRC-09</x:v>
      </x:c>
      <x:c r="B12" s="26" t="str">
        <x:v>09_analytic_verification_procedure.pdf</x:v>
      </x:c>
      <x:c r="C12" s="26" t="str">
        <x:v>Test procedure</x:v>
      </x:c>
      <x:c r="D12" s="26" t="str">
        <x:v>Rev B</x:v>
      </x:c>
      <x:c r="E12" s="26" t="str">
        <x:v>High</x:v>
      </x:c>
      <x:c r="F12" s="26" t="str">
        <x:v>1 s current-ramp validation and tolerances</x:v>
      </x:c>
      <x:c r="G12" s="26" t="str">
        <x:v>Verification source, not geometry authority.</x:v>
      </x:c>
    </x:row>
    <x:row r="13">
      <x:c r="A13" s="26" t="str">
        <x:v>SRC-10</x:v>
      </x:c>
      <x:c r="B13" s="26" t="str">
        <x:v>10_quasistatic_ramp_results.csv</x:v>
      </x:c>
      <x:c r="C13" s="26" t="str">
        <x:v>Simulation data</x:v>
      </x:c>
      <x:c r="D13" s="26" t="str">
        <x:v>Synthetic</x:v>
      </x:c>
      <x:c r="E13" s="26" t="str">
        <x:v>Medium</x:v>
      </x:c>
      <x:c r="F13" s="26" t="str">
        <x:v>Time series of I, mmf, fluxes, B/H, drops, induced voltages</x:v>
      </x:c>
      <x:c r="G13" s="26" t="str">
        <x:v>Uses released nominal gap and RMS phasor convention.</x:v>
      </x:c>
    </x:row>
    <x:row r="14">
      <x:c r="A14" s="26" t="str">
        <x:v>SRC-11</x:v>
      </x:c>
      <x:c r="B14" s="26" t="str">
        <x:v>11_partial_magnetic_architecture.puml</x:v>
      </x:c>
      <x:c r="C14" s="26" t="str">
        <x:v>Existing system model</x:v>
      </x:c>
      <x:c r="D14" s="26" t="str">
        <x:v>Draft</x:v>
      </x:c>
      <x:c r="E14" s="26" t="str">
        <x:v>Low</x:v>
      </x:c>
      <x:c r="F14" s="26" t="str">
        <x:v>Partial structural relationships</x:v>
      </x:c>
      <x:c r="G14" s="26" t="str">
        <x:v>No explicit leakage branch or grounds.</x:v>
      </x:c>
    </x:row>
    <x:row r="15">
      <x:c r="A15" s="26" t="str">
        <x:v>SRC-12</x:v>
      </x:c>
      <x:c r="B15" s="26" t="str">
        <x:v>12_geometry_metrology_export.json</x:v>
      </x:c>
      <x:c r="C15" s="26" t="str">
        <x:v>CAD/metrology-derived data</x:v>
      </x:c>
      <x:c r="D15" s="26" t="str">
        <x:v>Export</x:v>
      </x:c>
      <x:c r="E15" s="26" t="str">
        <x:v>Medium</x:v>
      </x:c>
      <x:c r="F15" s="26" t="str">
        <x:v>Nominal/as-built dimensions and coordinate hints</x:v>
      </x:c>
      <x:c r="G15" s="26" t="str">
        <x:v>As-built gap applies only to prototype test configuration.</x:v>
      </x:c>
    </x:row>
    <x:row r="16">
      <x:c r="A16" s="26" t="str">
        <x:v>SRC-13</x:v>
      </x:c>
      <x:c r="B16" s="26" t="str">
        <x:v>13_flux_tube_theory_note.pdf</x:v>
      </x:c>
      <x:c r="C16" s="26" t="str">
        <x:v>Technical note</x:v>
      </x:c>
      <x:c r="D16" s="26" t="str">
        <x:v>Rev C</x:v>
      </x:c>
      <x:c r="E16" s="26" t="str">
        <x:v>High</x:v>
      </x:c>
      <x:c r="F16" s="26" t="str">
        <x:v>Flux-tube equations and quasi-static assumptions</x:v>
      </x:c>
      <x:c r="G16" s="26" t="str">
        <x:v>No nonlinear B-H curve in benchmark.</x:v>
      </x:c>
    </x:row>
    <x:row r="17">
      <x:c r="A17" s="26" t="str">
        <x:v>SRC-14</x:v>
      </x:c>
      <x:c r="B17" s="26" t="str">
        <x:v>14_lab_validation_runbook.docx</x:v>
      </x:c>
      <x:c r="C17" s="26" t="str">
        <x:v>Operating/test procedure</x:v>
      </x:c>
      <x:c r="D17" s="26" t="str">
        <x:v>Rev A</x:v>
      </x:c>
      <x:c r="E17" s="26" t="str">
        <x:v>Medium</x:v>
      </x:c>
      <x:c r="F17" s="26" t="str">
        <x:v>Bench hookup and expected signs</x:v>
      </x:c>
      <x:c r="G17" s="26" t="str">
        <x:v>Operator nomenclature differs slightly.</x:v>
      </x:c>
    </x:row>
    <x:row r="18">
      <x:c r="A18" s="26" t="str">
        <x:v>SRC-15</x:v>
      </x:c>
      <x:c r="B18" s="26" t="str">
        <x:v>15_engineer_scratch_notes.txt</x:v>
      </x:c>
      <x:c r="C18" s="26" t="str">
        <x:v>Engineer notes</x:v>
      </x:c>
      <x:c r="D18" s="26" t="str">
        <x:v>Loose</x:v>
      </x:c>
      <x:c r="E18" s="26" t="str">
        <x:v>Low</x:v>
      </x:c>
      <x:c r="F18" s="26" t="str">
        <x:v>RMS/peak and phase observations</x:v>
      </x:c>
      <x:c r="G18" s="26" t="str">
        <x:v>Uncontrolled.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c1cffd011f5439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32" hidden="0" customWidth="1"/>
    <x:col min="4" max="4" width="20" hidden="0" customWidth="1"/>
    <x:col min="5" max="5" width="14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4" t="str">
        <x:v>Released Analytic Calculation - Nominal Geometry / RMS Phasor Convention</x:v>
      </x:c>
      <x:c r="B1" s="4"/>
      <x:c r="C1" s="4"/>
      <x:c r="D1" s="4"/>
      <x:c r="E1" s="4"/>
      <x:c r="F1" s="4"/>
      <x:c r="G1" s="4"/>
      <x:c r="H1" s="4"/>
    </x:row>
    <x:row r="3">
      <x:c r="A3" s="20" t="str">
        <x:v>Input</x:v>
      </x:c>
      <x:c r="B3" s="20" t="str">
        <x:v>Symbol</x:v>
      </x:c>
      <x:c r="C3" s="20" t="str">
        <x:v>Value</x:v>
      </x:c>
      <x:c r="D3" s="20" t="str">
        <x:v>Units</x:v>
      </x:c>
      <x:c r="G3" s="20" t="str">
        <x:v>Element</x:v>
      </x:c>
      <x:c r="H3" s="20" t="str">
        <x:v>Area m2</x:v>
      </x:c>
      <x:c r="I3" s="20" t="str">
        <x:v>Length m</x:v>
      </x:c>
      <x:c r="J3" s="20" t="str">
        <x:v>mu_r</x:v>
      </x:c>
      <x:c r="K3" s="20" t="str">
        <x:v>Flux Wb</x:v>
      </x:c>
      <x:c r="L3" s="20" t="str">
        <x:v>B T</x:v>
      </x:c>
      <x:c r="M3" s="20" t="str">
        <x:v>H A/m</x:v>
      </x:c>
    </x:row>
    <x:row r="4">
      <x:c r="A4" t="str">
        <x:v>Vacuum permeability</x:v>
      </x:c>
      <x:c r="B4" t="str">
        <x:v>mu0</x:v>
      </x:c>
      <x:c r="C4" t="n">
        <x:v>0.0000012566370614359173</x:v>
      </x:c>
      <x:c r="D4" t="str">
        <x:v>H/m</x:v>
      </x:c>
      <x:c r="G4" t="str">
        <x:v>Left leg</x:v>
      </x:c>
      <x:c r="H4" s="28" t="n">
        <x:f>$C$6</x:f>
        <x:v>0.0006250000000000001</x:v>
      </x:c>
      <x:c r="I4" s="28" t="n">
        <x:f>$D$17</x:f>
        <x:v>0.125</x:v>
      </x:c>
      <x:c r="J4" s="28" t="n">
        <x:f>$C$9</x:f>
        <x:v>1200</x:v>
      </x:c>
      <x:c r="K4" s="28" t="n">
        <x:f>$D$26</x:f>
        <x:v>0.0005249354167056515</x:v>
      </x:c>
      <x:c r="L4" s="28" t="n">
        <x:f>K4/H4</x:f>
        <x:v>0.8398966667290422</x:v>
      </x:c>
      <x:c r="M4" s="28" t="n">
        <x:f>L4/($C$4*J4)</x:f>
        <x:v>556.9737758180554</x:v>
      </x:c>
    </x:row>
    <x:row r="5">
      <x:c r="A5" t="str">
        <x:v>Core side</x:v>
      </x:c>
      <x:c r="B5" t="str">
        <x:v>a</x:v>
      </x:c>
      <x:c r="C5" t="n">
        <x:v>0.025</x:v>
      </x:c>
      <x:c r="D5" t="str">
        <x:v>m</x:v>
      </x:c>
      <x:c r="G5" t="str">
        <x:v>Upper yoke</x:v>
      </x:c>
      <x:c r="H5" s="28" t="n">
        <x:f>$C$6</x:f>
        <x:v>0.0006250000000000001</x:v>
      </x:c>
      <x:c r="I5" s="28" t="n">
        <x:f>$D$17</x:f>
        <x:v>0.125</x:v>
      </x:c>
      <x:c r="J5" s="28" t="n">
        <x:f>$C$9</x:f>
        <x:v>1200</x:v>
      </x:c>
      <x:c r="K5" s="28" t="n">
        <x:f>$D$26</x:f>
        <x:v>0.0005249354167056515</x:v>
      </x:c>
      <x:c r="L5" s="28" t="n">
        <x:f>K5/H5</x:f>
        <x:v>0.8398966667290422</x:v>
      </x:c>
      <x:c r="M5" s="28" t="n">
        <x:f>L5/($C$4*J5)</x:f>
        <x:v>556.9737758180554</x:v>
      </x:c>
    </x:row>
    <x:row r="6">
      <x:c r="A6" t="str">
        <x:v>Cross-sectional area</x:v>
      </x:c>
      <x:c r="B6" t="str">
        <x:v>A</x:v>
      </x:c>
      <x:c r="C6" t="n">
        <x:f>C5*C5</x:f>
        <x:v>0.0006250000000000001</x:v>
      </x:c>
      <x:c r="D6" t="str">
        <x:v>m^2</x:v>
      </x:c>
      <x:c r="G6" t="str">
        <x:v>Right leg</x:v>
      </x:c>
      <x:c r="H6" s="28" t="n">
        <x:f>$C$6</x:f>
        <x:v>0.0006250000000000001</x:v>
      </x:c>
      <x:c r="I6" s="28" t="n">
        <x:f>$D$18</x:f>
        <x:v>0.1235</x:v>
      </x:c>
      <x:c r="J6" s="28" t="n">
        <x:f>$C$9</x:f>
        <x:v>1200</x:v>
      </x:c>
      <x:c r="K6" s="28" t="n">
        <x:f>$D$26</x:f>
        <x:v>0.0005249354167056515</x:v>
      </x:c>
      <x:c r="L6" s="28" t="n">
        <x:f>K6/H6</x:f>
        <x:v>0.8398966667290422</x:v>
      </x:c>
      <x:c r="M6" s="28" t="n">
        <x:f>L6/($C$4*J6)</x:f>
        <x:v>556.9737758180554</x:v>
      </x:c>
    </x:row>
    <x:row r="7">
      <x:c r="A7" t="str">
        <x:v>Reference dimension</x:v>
      </x:c>
      <x:c r="B7" t="str">
        <x:v>l</x:v>
      </x:c>
      <x:c r="C7" t="n">
        <x:v>0.15</x:v>
      </x:c>
      <x:c r="D7" t="str">
        <x:v>m</x:v>
      </x:c>
      <x:c r="G7" t="str">
        <x:v>Air gap</x:v>
      </x:c>
      <x:c r="H7" s="28" t="n">
        <x:f>$C$6</x:f>
        <x:v>0.0006250000000000001</x:v>
      </x:c>
      <x:c r="I7" s="28" t="n">
        <x:f>$C$8</x:f>
        <x:v>0.0015</x:v>
      </x:c>
      <x:c r="J7" s="28" t="n">
        <x:f>1</x:f>
        <x:v>1</x:v>
      </x:c>
      <x:c r="K7" s="28" t="n">
        <x:f>$D$27</x:f>
        <x:v>0.00048294058336919936</x:v>
      </x:c>
      <x:c r="L7" s="28" t="n">
        <x:f>K7/H7</x:f>
        <x:v>0.7727049333907189</x:v>
      </x:c>
      <x:c r="M7" s="28" t="n">
        <x:f>L7/$C$4</x:f>
        <x:v>614899.0485031332</x:v>
      </x:c>
    </x:row>
    <x:row r="8">
      <x:c r="A8" t="str">
        <x:v>Air gap</x:v>
      </x:c>
      <x:c r="B8" t="str">
        <x:v>delta</x:v>
      </x:c>
      <x:c r="C8" t="n">
        <x:v>0.0015</x:v>
      </x:c>
      <x:c r="D8" t="str">
        <x:v>m</x:v>
      </x:c>
      <x:c r="G8" t="str">
        <x:v>Lower yoke</x:v>
      </x:c>
      <x:c r="H8" s="28" t="n">
        <x:f>$C$6</x:f>
        <x:v>0.0006250000000000001</x:v>
      </x:c>
      <x:c r="I8" s="28" t="n">
        <x:f>$D$17</x:f>
        <x:v>0.125</x:v>
      </x:c>
      <x:c r="J8" s="28" t="n">
        <x:f>$C$9</x:f>
        <x:v>1200</x:v>
      </x:c>
      <x:c r="K8" s="28" t="n">
        <x:f>$D$26</x:f>
        <x:v>0.0005249354167056515</x:v>
      </x:c>
      <x:c r="L8" s="28" t="n">
        <x:f>K8/H8</x:f>
        <x:v>0.8398966667290422</x:v>
      </x:c>
      <x:c r="M8" s="28" t="n">
        <x:f>L8/($C$4*J8)</x:f>
        <x:v>556.9737758180554</x:v>
      </x:c>
    </x:row>
    <x:row r="9">
      <x:c r="A9" t="str">
        <x:v>Relative permeability</x:v>
      </x:c>
      <x:c r="B9" t="str">
        <x:v>mu_r</x:v>
      </x:c>
      <x:c r="C9" t="n">
        <x:v>1200</x:v>
      </x:c>
      <x:c r="D9" t="str">
        <x:v>1</x:v>
      </x:c>
    </x:row>
    <x:row r="10">
      <x:c r="A10" t="str">
        <x:v>Leakage coefficient</x:v>
      </x:c>
      <x:c r="B10" t="str">
        <x:v>sigma</x:v>
      </x:c>
      <x:c r="C10" t="n">
        <x:v>0.08</x:v>
      </x:c>
      <x:c r="D10" t="str">
        <x:v>1</x:v>
      </x:c>
    </x:row>
    <x:row r="11">
      <x:c r="A11" t="str">
        <x:v>Exciting turns</x:v>
      </x:c>
      <x:c r="B11" t="str">
        <x:v>N_exc</x:v>
      </x:c>
      <x:c r="C11" t="n">
        <x:v>600</x:v>
      </x:c>
      <x:c r="D11" t="str">
        <x:v>turn</x:v>
      </x:c>
    </x:row>
    <x:row r="12">
      <x:c r="A12" t="str">
        <x:v>Measuring turns</x:v>
      </x:c>
      <x:c r="B12" t="str">
        <x:v>N_meas</x:v>
      </x:c>
      <x:c r="C12" t="n">
        <x:v>50</x:v>
      </x:c>
      <x:c r="D12" t="str">
        <x:v>turn</x:v>
      </x:c>
    </x:row>
    <x:row r="13">
      <x:c r="A13" t="str">
        <x:v>Frequency</x:v>
      </x:c>
      <x:c r="B13" t="str">
        <x:v>f</x:v>
      </x:c>
      <x:c r="C13" t="n">
        <x:v>50</x:v>
      </x:c>
      <x:c r="D13" t="str">
        <x:v>Hz</x:v>
      </x:c>
    </x:row>
    <x:row r="14">
      <x:c r="A14" t="str">
        <x:v>Final RMS current</x:v>
      </x:c>
      <x:c r="B14" t="str">
        <x:v>I</x:v>
      </x:c>
      <x:c r="C14" t="n">
        <x:v>2</x:v>
      </x:c>
      <x:c r="D14" t="str">
        <x:v>A</x:v>
      </x:c>
    </x:row>
    <x:row r="16">
      <x:c r="A16" s="20" t="str">
        <x:v>Derived quantity</x:v>
      </x:c>
      <x:c r="B16" s="20" t="str">
        <x:v>Symbol</x:v>
      </x:c>
      <x:c r="C16" s="20" t="str">
        <x:v>Formula basis</x:v>
      </x:c>
      <x:c r="D16" s="20" t="str">
        <x:v>Value</x:v>
      </x:c>
      <x:c r="E16" s="20" t="str">
        <x:v>Units</x:v>
      </x:c>
    </x:row>
    <x:row r="17">
      <x:c r="A17" t="str">
        <x:v>Left/upper/lower core length</x:v>
      </x:c>
      <x:c r="B17" t="str">
        <x:v>l-a</x:v>
      </x:c>
      <x:c r="C17" t="str">
        <x:v>geometry</x:v>
      </x:c>
      <x:c r="D17" s="28" t="n">
        <x:f>C7-C5</x:f>
        <x:v>0.125</x:v>
      </x:c>
      <x:c r="E17" t="str">
        <x:v>m</x:v>
      </x:c>
    </x:row>
    <x:row r="18">
      <x:c r="A18" t="str">
        <x:v>Right iron length</x:v>
      </x:c>
      <x:c r="B18" t="str">
        <x:v>l-a-delta</x:v>
      </x:c>
      <x:c r="C18" t="str">
        <x:v>geometry</x:v>
      </x:c>
      <x:c r="D18" s="28" t="n">
        <x:f>C7-C5-C8</x:f>
        <x:v>0.1235</x:v>
      </x:c>
      <x:c r="E18" t="str">
        <x:v>m</x:v>
      </x:c>
    </x:row>
    <x:row r="19">
      <x:c r="A19" t="str">
        <x:v>Total iron length</x:v>
      </x:c>
      <x:c r="B19" t="str">
        <x:v>l_core</x:v>
      </x:c>
      <x:c r="C19" t="str">
        <x:v>3*(l-a)+(l-a-delta)</x:v>
      </x:c>
      <x:c r="D19" s="28" t="n">
        <x:f>3*(C7-C5)+(C7-C5-C8)</x:f>
        <x:v>0.4985</x:v>
      </x:c>
      <x:c r="E19" t="str">
        <x:v>m</x:v>
      </x:c>
    </x:row>
    <x:row r="20">
      <x:c r="A20" t="str">
        <x:v>Core reluctance</x:v>
      </x:c>
      <x:c r="B20" t="str">
        <x:v>R_core</x:v>
      </x:c>
      <x:c r="C20" t="str">
        <x:v>l_core/(mu0*mu_r*A)</x:v>
      </x:c>
      <x:c r="D20" s="28" t="n">
        <x:f>D19/(C4*C9*C6)</x:f>
        <x:v>528924.9275420654</x:v>
      </x:c>
      <x:c r="E20" t="str">
        <x:v>A/Wb</x:v>
      </x:c>
    </x:row>
    <x:row r="21">
      <x:c r="A21" t="str">
        <x:v>Gap reluctance</x:v>
      </x:c>
      <x:c r="B21" t="str">
        <x:v>R_gap</x:v>
      </x:c>
      <x:c r="C21" t="str">
        <x:v>delta/(mu0*A)</x:v>
      </x:c>
      <x:c r="D21" s="28" t="n">
        <x:f>C8/(C4*C6)</x:f>
        <x:v>1909859.3171027435</x:v>
      </x:c>
      <x:c r="E21" t="str">
        <x:v>A/Wb</x:v>
      </x:c>
    </x:row>
    <x:row r="22">
      <x:c r="A22" t="str">
        <x:v>Leakage reluctance</x:v>
      </x:c>
      <x:c r="B22" t="str">
        <x:v>R_leak</x:v>
      </x:c>
      <x:c r="C22" t="str">
        <x:v>R_gap*(1-sigma)/sigma</x:v>
      </x:c>
      <x:c r="D22" s="28" t="n">
        <x:f>D21*(1-C10)/C10</x:f>
        <x:v>21963382.14668155</x:v>
      </x:c>
      <x:c r="E22" t="str">
        <x:v>A/Wb</x:v>
      </x:c>
    </x:row>
    <x:row r="23">
      <x:c r="A23" t="str">
        <x:v>Equivalent gap/leak reluctance</x:v>
      </x:c>
      <x:c r="B23" t="str">
        <x:v>R_par</x:v>
      </x:c>
      <x:c r="C23" t="str">
        <x:v>1/(1/R_gap+1/R_leak)</x:v>
      </x:c>
      <x:c r="D23" s="28" t="n">
        <x:f>1/(1/D21+1/D22)</x:f>
        <x:v>1757070.5717345239</x:v>
      </x:c>
      <x:c r="E23" t="str">
        <x:v>A/Wb</x:v>
      </x:c>
    </x:row>
    <x:row r="24">
      <x:c r="A24" t="str">
        <x:v>Total reluctance</x:v>
      </x:c>
      <x:c r="B24" t="str">
        <x:v>R_total</x:v>
      </x:c>
      <x:c r="C24" t="str">
        <x:v>R_core+R_par</x:v>
      </x:c>
      <x:c r="D24" s="28" t="n">
        <x:f>D20+D23</x:f>
        <x:v>2285995.499276589</x:v>
      </x:c>
      <x:c r="E24" t="str">
        <x:v>A/Wb</x:v>
      </x:c>
    </x:row>
    <x:row r="25">
      <x:c r="A25" t="str">
        <x:v>Applied mmf</x:v>
      </x:c>
      <x:c r="B25" t="str">
        <x:v>F=N*I</x:v>
      </x:c>
      <x:c r="C25" t="str">
        <x:v>N_exc*I</x:v>
      </x:c>
      <x:c r="D25" s="28" t="n">
        <x:f>C11*C14</x:f>
        <x:v>1200</x:v>
      </x:c>
      <x:c r="E25" t="str">
        <x:v>A-turn</x:v>
      </x:c>
    </x:row>
    <x:row r="26">
      <x:c r="A26" t="str">
        <x:v>Total core flux</x:v>
      </x:c>
      <x:c r="B26" t="str">
        <x:v>Phi_core</x:v>
      </x:c>
      <x:c r="C26" t="str">
        <x:v>F/R_total</x:v>
      </x:c>
      <x:c r="D26" s="28" t="n">
        <x:f>D25/D24</x:f>
        <x:v>0.0005249354167056515</x:v>
      </x:c>
      <x:c r="E26" t="str">
        <x:v>Wb</x:v>
      </x:c>
    </x:row>
    <x:row r="27">
      <x:c r="A27" t="str">
        <x:v>Useful air-gap flux</x:v>
      </x:c>
      <x:c r="B27" t="str">
        <x:v>Phi_gap</x:v>
      </x:c>
      <x:c r="C27" t="str">
        <x:v>(1-sigma)*Phi_core</x:v>
      </x:c>
      <x:c r="D27" s="28" t="n">
        <x:f>(1-C10)*D26</x:f>
        <x:v>0.00048294058336919936</x:v>
      </x:c>
      <x:c r="E27" t="str">
        <x:v>Wb</x:v>
      </x:c>
    </x:row>
    <x:row r="28">
      <x:c r="A28" t="str">
        <x:v>Leakage flux</x:v>
      </x:c>
      <x:c r="B28" t="str">
        <x:v>Phi_leak</x:v>
      </x:c>
      <x:c r="C28" t="str">
        <x:v>sigma*Phi_core</x:v>
      </x:c>
      <x:c r="D28" s="28" t="n">
        <x:f>C10*D26</x:f>
        <x:v>0.000041994833336452115</x:v>
      </x:c>
      <x:c r="E28" t="str">
        <x:v>Wb</x:v>
      </x:c>
    </x:row>
    <x:row r="29">
      <x:c r="A29" t="str">
        <x:v>Core flux density</x:v>
      </x:c>
      <x:c r="B29" t="str">
        <x:v>B_core</x:v>
      </x:c>
      <x:c r="C29" t="str">
        <x:v>Phi_core/A</x:v>
      </x:c>
      <x:c r="D29" s="28" t="n">
        <x:f>D26/C6</x:f>
        <x:v>0.8398966667290422</x:v>
      </x:c>
      <x:c r="E29" t="str">
        <x:v>T</x:v>
      </x:c>
    </x:row>
    <x:row r="30">
      <x:c r="A30" t="str">
        <x:v>Air-gap flux density</x:v>
      </x:c>
      <x:c r="B30" t="str">
        <x:v>B_gap</x:v>
      </x:c>
      <x:c r="C30" t="str">
        <x:v>Phi_gap/A</x:v>
      </x:c>
      <x:c r="D30" s="28" t="n">
        <x:f>D27/C6</x:f>
        <x:v>0.7727049333907189</x:v>
      </x:c>
      <x:c r="E30" t="str">
        <x:v>T</x:v>
      </x:c>
    </x:row>
    <x:row r="31">
      <x:c r="A31" t="str">
        <x:v>Core field strength</x:v>
      </x:c>
      <x:c r="B31" t="str">
        <x:v>H_core</x:v>
      </x:c>
      <x:c r="C31" t="str">
        <x:v>B_core/(mu0*mu_r)</x:v>
      </x:c>
      <x:c r="D31" s="28" t="n">
        <x:f>D29/(C4*C9)</x:f>
        <x:v>556.9737758180554</x:v>
      </x:c>
      <x:c r="E31" t="str">
        <x:v>A/m</x:v>
      </x:c>
    </x:row>
    <x:row r="32">
      <x:c r="A32" t="str">
        <x:v>Air-gap field strength</x:v>
      </x:c>
      <x:c r="B32" t="str">
        <x:v>H_gap</x:v>
      </x:c>
      <x:c r="C32" t="str">
        <x:v>B_gap/mu0</x:v>
      </x:c>
      <x:c r="D32" s="28" t="n">
        <x:f>D30/C4</x:f>
        <x:v>614899.0485031332</x:v>
      </x:c>
      <x:c r="E32" t="str">
        <x:v>A/m</x:v>
      </x:c>
    </x:row>
    <x:row r="33">
      <x:c r="A33" t="str">
        <x:v>Core magnetic potential drop</x:v>
      </x:c>
      <x:c r="B33" t="str">
        <x:v>Vm_core</x:v>
      </x:c>
      <x:c r="C33" t="str">
        <x:v>H_core*l_core</x:v>
      </x:c>
      <x:c r="D33" s="28" t="n">
        <x:f>D31*D19</x:f>
        <x:v>277.6514272453006</x:v>
      </x:c>
      <x:c r="E33" t="str">
        <x:v>A-turn</x:v>
      </x:c>
    </x:row>
    <x:row r="34">
      <x:c r="A34" t="str">
        <x:v>Gap branch magnetic potential</x:v>
      </x:c>
      <x:c r="B34" t="str">
        <x:v>Vm_gap</x:v>
      </x:c>
      <x:c r="C34" t="str">
        <x:v>H_gap*delta</x:v>
      </x:c>
      <x:c r="D34" s="28" t="n">
        <x:f>D32*C8</x:f>
        <x:v>922.3485727546998</x:v>
      </x:c>
      <x:c r="E34" t="str">
        <x:v>A-turn</x:v>
      </x:c>
    </x:row>
    <x:row r="35">
      <x:c r="A35" t="str">
        <x:v>MMF balance residual</x:v>
      </x:c>
      <x:c r="B35" t="str">
        <x:v>residual</x:v>
      </x:c>
      <x:c r="C35" t="str">
        <x:v>N*I - Vm_core - Vm_gap</x:v>
      </x:c>
      <x:c r="D35" s="28" t="n">
        <x:f>D25-D33-D34</x:f>
        <x:v>-4.547473508864641e-13</x:v>
      </x:c>
      <x:c r="E35" t="str">
        <x:v>A-turn</x:v>
      </x:c>
    </x:row>
    <x:row r="36">
      <x:c r="A36" t="str">
        <x:v>Exciting-coil induced |U|</x:v>
      </x:c>
      <x:c r="B36" t="str">
        <x:v>Uexc</x:v>
      </x:c>
      <x:c r="C36" t="str">
        <x:v>2*pi*f*N_exc*Phi_core</x:v>
      </x:c>
      <x:c r="D36" s="28" t="n">
        <x:f>2*PI()*C13*C11*D26</x:f>
        <x:v>98.94799492389429</x:v>
      </x:c>
      <x:c r="E36" t="str">
        <x:v>V RMS</x:v>
      </x:c>
    </x:row>
    <x:row r="37">
      <x:c r="A37" t="str">
        <x:v>Measuring-coil induced |U|</x:v>
      </x:c>
      <x:c r="B37" t="str">
        <x:v>Umeas</x:v>
      </x:c>
      <x:c r="C37" t="str">
        <x:v>2*pi*f*N_meas*Phi_gap</x:v>
      </x:c>
      <x:c r="D37" s="28" t="n">
        <x:f>2*PI()*C13*C12*D27</x:f>
        <x:v>7.586012944165229</x:v>
      </x:c>
      <x:c r="E37" t="str">
        <x:v>V RMS</x:v>
      </x:c>
    </x:row>
    <x:row r="38">
      <x:c r="A38" t="str">
        <x:v>Useful/core flux ratio</x:v>
      </x:c>
      <x:c r="B38" t="str">
        <x:v>ratio</x:v>
      </x:c>
      <x:c r="C38" t="str">
        <x:v>Phi_gap/Phi_core</x:v>
      </x:c>
      <x:c r="D38" s="28" t="n">
        <x:f>D27/D26</x:f>
        <x:v>0.92</x:v>
      </x:c>
      <x:c r="E38" t="str">
        <x:v>1</x:v>
      </x:c>
    </x:row>
  </x:sheetData>
  <x:mergeCells>
    <x:mergeCell ref="A1:H1"/>
  </x:mergeCells>
  <x:pageMargins left="0.7" right="0.7" top="0.75" bottom="0.75" header="0.3" footer="0.3"/>
</x:worksheet>
</file>